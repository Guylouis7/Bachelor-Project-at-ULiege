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ylo\Documents\Unif\Bac 3\Q1\Bachelor\Distillation_team\"/>
    </mc:Choice>
  </mc:AlternateContent>
  <xr:revisionPtr revIDLastSave="0" documentId="13_ncr:1_{AFD09D4C-9445-495A-89AC-61095F0171A3}" xr6:coauthVersionLast="47" xr6:coauthVersionMax="47" xr10:uidLastSave="{00000000-0000-0000-0000-000000000000}"/>
  <bookViews>
    <workbookView xWindow="-108" yWindow="-108" windowWidth="23256" windowHeight="12456" activeTab="2" xr2:uid="{B90C2396-A579-4D73-BD61-144D64AA0ACB}"/>
  </bookViews>
  <sheets>
    <sheet name="specific enthalpy of vap" sheetId="1" r:id="rId1"/>
    <sheet name="Cp" sheetId="2" r:id="rId2"/>
    <sheet name="specific enthalpy" sheetId="3" r:id="rId3"/>
  </sheets>
  <definedNames>
    <definedName name="enthalpy">'specific enthalpy'!$A:$A</definedName>
    <definedName name="m">'specific enthalpy'!$E$7</definedName>
    <definedName name="m_val">'specific enthalpy'!$F$7</definedName>
    <definedName name="Q_dot">'specific enthalpy'!$F$6</definedName>
    <definedName name="val">'specific enthalpy'!$E$7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F8" i="3"/>
  <c r="F9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</calcChain>
</file>

<file path=xl/sharedStrings.xml><?xml version="1.0" encoding="utf-8"?>
<sst xmlns="http://schemas.openxmlformats.org/spreadsheetml/2006/main" count="20" uniqueCount="19">
  <si>
    <t>Temperature</t>
  </si>
  <si>
    <t>h_vap_eth</t>
  </si>
  <si>
    <t>h_vap_w</t>
  </si>
  <si>
    <t>T</t>
  </si>
  <si>
    <t>Cp_w</t>
  </si>
  <si>
    <t>Cp_eth</t>
  </si>
  <si>
    <t>specific enthalpy of mixture</t>
  </si>
  <si>
    <t>T [°C]</t>
  </si>
  <si>
    <t>T[K]</t>
  </si>
  <si>
    <t>Bilan d'énergie sur L :</t>
  </si>
  <si>
    <t>Q_dot</t>
  </si>
  <si>
    <t>m</t>
  </si>
  <si>
    <t>kW</t>
  </si>
  <si>
    <t>kg</t>
  </si>
  <si>
    <t>Q_dot = dt(mh)
Ainsi, on a :
t = m/Q_fot *(hf - hi)</t>
  </si>
  <si>
    <t>t</t>
  </si>
  <si>
    <t>s</t>
  </si>
  <si>
    <t>t_min</t>
  </si>
  <si>
    <t xml:space="preserve">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</si>
</sst>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2" xfId="1"/>
    <xf numFmtId="0" fontId="2" fillId="2" borderId="2" xfId="1" applyNumberFormat="1"/>
  </cellXfs>
  <cellStyles count="2">
    <cellStyle name="Calcul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enthalpy of vaporization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ethanol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'specific enthalpy of vap'!$A$2:$A$51</c:f>
              <c:numCache>
                <c:formatCode>General</c:formatCode>
                <c:ptCount val="50"/>
                <c:pt idx="0">
                  <c:v>75</c:v>
                </c:pt>
                <c:pt idx="1">
                  <c:v>75.510000000000005</c:v>
                </c:pt>
                <c:pt idx="2">
                  <c:v>76.02</c:v>
                </c:pt>
                <c:pt idx="3">
                  <c:v>76.53</c:v>
                </c:pt>
                <c:pt idx="4">
                  <c:v>77.040000000000006</c:v>
                </c:pt>
                <c:pt idx="5">
                  <c:v>77.55</c:v>
                </c:pt>
                <c:pt idx="6">
                  <c:v>78.06</c:v>
                </c:pt>
                <c:pt idx="7">
                  <c:v>78.569999999999993</c:v>
                </c:pt>
                <c:pt idx="8">
                  <c:v>79.08</c:v>
                </c:pt>
                <c:pt idx="9">
                  <c:v>79.59</c:v>
                </c:pt>
                <c:pt idx="10">
                  <c:v>80.099999999999994</c:v>
                </c:pt>
                <c:pt idx="11">
                  <c:v>80.61</c:v>
                </c:pt>
                <c:pt idx="12">
                  <c:v>81.12</c:v>
                </c:pt>
                <c:pt idx="13">
                  <c:v>81.63</c:v>
                </c:pt>
                <c:pt idx="14">
                  <c:v>82.14</c:v>
                </c:pt>
                <c:pt idx="15">
                  <c:v>82.65</c:v>
                </c:pt>
                <c:pt idx="16">
                  <c:v>83.16</c:v>
                </c:pt>
                <c:pt idx="17">
                  <c:v>83.67</c:v>
                </c:pt>
                <c:pt idx="18">
                  <c:v>84.18</c:v>
                </c:pt>
                <c:pt idx="19">
                  <c:v>84.69</c:v>
                </c:pt>
                <c:pt idx="20">
                  <c:v>85.2</c:v>
                </c:pt>
                <c:pt idx="21">
                  <c:v>85.71</c:v>
                </c:pt>
                <c:pt idx="22">
                  <c:v>86.22</c:v>
                </c:pt>
                <c:pt idx="23">
                  <c:v>86.73</c:v>
                </c:pt>
                <c:pt idx="24">
                  <c:v>87.24</c:v>
                </c:pt>
                <c:pt idx="25">
                  <c:v>87.76</c:v>
                </c:pt>
                <c:pt idx="26">
                  <c:v>88.27</c:v>
                </c:pt>
                <c:pt idx="27">
                  <c:v>88.78</c:v>
                </c:pt>
                <c:pt idx="28">
                  <c:v>89.29</c:v>
                </c:pt>
                <c:pt idx="29">
                  <c:v>89.8</c:v>
                </c:pt>
                <c:pt idx="30">
                  <c:v>90.31</c:v>
                </c:pt>
                <c:pt idx="31">
                  <c:v>90.82</c:v>
                </c:pt>
                <c:pt idx="32">
                  <c:v>91.33</c:v>
                </c:pt>
                <c:pt idx="33">
                  <c:v>91.84</c:v>
                </c:pt>
                <c:pt idx="34">
                  <c:v>92.35</c:v>
                </c:pt>
                <c:pt idx="35">
                  <c:v>92.86</c:v>
                </c:pt>
                <c:pt idx="36">
                  <c:v>93.37</c:v>
                </c:pt>
                <c:pt idx="37">
                  <c:v>93.88</c:v>
                </c:pt>
                <c:pt idx="38">
                  <c:v>94.39</c:v>
                </c:pt>
                <c:pt idx="39">
                  <c:v>94.9</c:v>
                </c:pt>
                <c:pt idx="40">
                  <c:v>95.41</c:v>
                </c:pt>
                <c:pt idx="41">
                  <c:v>95.92</c:v>
                </c:pt>
                <c:pt idx="42">
                  <c:v>96.43</c:v>
                </c:pt>
                <c:pt idx="43">
                  <c:v>96.94</c:v>
                </c:pt>
                <c:pt idx="44">
                  <c:v>97.45</c:v>
                </c:pt>
                <c:pt idx="45">
                  <c:v>97.96</c:v>
                </c:pt>
                <c:pt idx="46">
                  <c:v>98.47</c:v>
                </c:pt>
                <c:pt idx="47">
                  <c:v>98.98</c:v>
                </c:pt>
                <c:pt idx="48">
                  <c:v>99.49</c:v>
                </c:pt>
                <c:pt idx="49">
                  <c:v>100</c:v>
                </c:pt>
              </c:numCache>
            </c:numRef>
          </c:xVal>
          <c:yVal>
            <c:numRef>
              <c:f>'specific enthalpy of vap'!$B$2:$B$51</c:f>
              <c:numCache>
                <c:formatCode>General</c:formatCode>
                <c:ptCount val="50"/>
                <c:pt idx="0">
                  <c:v>855.4</c:v>
                </c:pt>
                <c:pt idx="1">
                  <c:v>854.6</c:v>
                </c:pt>
                <c:pt idx="2">
                  <c:v>853.8</c:v>
                </c:pt>
                <c:pt idx="3">
                  <c:v>852.9</c:v>
                </c:pt>
                <c:pt idx="4">
                  <c:v>852.1</c:v>
                </c:pt>
                <c:pt idx="5">
                  <c:v>851.3</c:v>
                </c:pt>
                <c:pt idx="6">
                  <c:v>850.4</c:v>
                </c:pt>
                <c:pt idx="7">
                  <c:v>849.6</c:v>
                </c:pt>
                <c:pt idx="8">
                  <c:v>848.8</c:v>
                </c:pt>
                <c:pt idx="9">
                  <c:v>847.9</c:v>
                </c:pt>
                <c:pt idx="10">
                  <c:v>847.1</c:v>
                </c:pt>
                <c:pt idx="11">
                  <c:v>846.2</c:v>
                </c:pt>
                <c:pt idx="12">
                  <c:v>845.4</c:v>
                </c:pt>
                <c:pt idx="13">
                  <c:v>844.5</c:v>
                </c:pt>
                <c:pt idx="14">
                  <c:v>843.6</c:v>
                </c:pt>
                <c:pt idx="15">
                  <c:v>842.8</c:v>
                </c:pt>
                <c:pt idx="16">
                  <c:v>841.9</c:v>
                </c:pt>
                <c:pt idx="17">
                  <c:v>841</c:v>
                </c:pt>
                <c:pt idx="18">
                  <c:v>840.2</c:v>
                </c:pt>
                <c:pt idx="19">
                  <c:v>839.3</c:v>
                </c:pt>
                <c:pt idx="20">
                  <c:v>838.4</c:v>
                </c:pt>
                <c:pt idx="21">
                  <c:v>837.5</c:v>
                </c:pt>
                <c:pt idx="22">
                  <c:v>836.6</c:v>
                </c:pt>
                <c:pt idx="23">
                  <c:v>835.7</c:v>
                </c:pt>
                <c:pt idx="24">
                  <c:v>834.8</c:v>
                </c:pt>
                <c:pt idx="25">
                  <c:v>833.9</c:v>
                </c:pt>
                <c:pt idx="26">
                  <c:v>833</c:v>
                </c:pt>
                <c:pt idx="27">
                  <c:v>832.1</c:v>
                </c:pt>
                <c:pt idx="28">
                  <c:v>831.2</c:v>
                </c:pt>
                <c:pt idx="29">
                  <c:v>830.3</c:v>
                </c:pt>
                <c:pt idx="30">
                  <c:v>829.3</c:v>
                </c:pt>
                <c:pt idx="31">
                  <c:v>828.4</c:v>
                </c:pt>
                <c:pt idx="32">
                  <c:v>827.5</c:v>
                </c:pt>
                <c:pt idx="33">
                  <c:v>826.5</c:v>
                </c:pt>
                <c:pt idx="34">
                  <c:v>825.6</c:v>
                </c:pt>
                <c:pt idx="35">
                  <c:v>824.7</c:v>
                </c:pt>
                <c:pt idx="36">
                  <c:v>823.7</c:v>
                </c:pt>
                <c:pt idx="37">
                  <c:v>822.8</c:v>
                </c:pt>
                <c:pt idx="38">
                  <c:v>821.8</c:v>
                </c:pt>
                <c:pt idx="39">
                  <c:v>820.8</c:v>
                </c:pt>
                <c:pt idx="40">
                  <c:v>819.9</c:v>
                </c:pt>
                <c:pt idx="41">
                  <c:v>818.9</c:v>
                </c:pt>
                <c:pt idx="42">
                  <c:v>817.9</c:v>
                </c:pt>
                <c:pt idx="43">
                  <c:v>817</c:v>
                </c:pt>
                <c:pt idx="44">
                  <c:v>816</c:v>
                </c:pt>
                <c:pt idx="45">
                  <c:v>815</c:v>
                </c:pt>
                <c:pt idx="46">
                  <c:v>814</c:v>
                </c:pt>
                <c:pt idx="47">
                  <c:v>813</c:v>
                </c:pt>
                <c:pt idx="48">
                  <c:v>812</c:v>
                </c:pt>
                <c:pt idx="49">
                  <c:v>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00-4F23-B08B-5E4F9804A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646991"/>
        <c:axId val="471644111"/>
      </c:scatterChart>
      <c:scatterChart>
        <c:scatterStyle val="lineMarker"/>
        <c:varyColors val="0"/>
        <c:ser>
          <c:idx val="1"/>
          <c:order val="1"/>
          <c:tx>
            <c:v>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'specific enthalpy of vap'!$A$2:$A$51</c:f>
              <c:numCache>
                <c:formatCode>General</c:formatCode>
                <c:ptCount val="50"/>
                <c:pt idx="0">
                  <c:v>75</c:v>
                </c:pt>
                <c:pt idx="1">
                  <c:v>75.510000000000005</c:v>
                </c:pt>
                <c:pt idx="2">
                  <c:v>76.02</c:v>
                </c:pt>
                <c:pt idx="3">
                  <c:v>76.53</c:v>
                </c:pt>
                <c:pt idx="4">
                  <c:v>77.040000000000006</c:v>
                </c:pt>
                <c:pt idx="5">
                  <c:v>77.55</c:v>
                </c:pt>
                <c:pt idx="6">
                  <c:v>78.06</c:v>
                </c:pt>
                <c:pt idx="7">
                  <c:v>78.569999999999993</c:v>
                </c:pt>
                <c:pt idx="8">
                  <c:v>79.08</c:v>
                </c:pt>
                <c:pt idx="9">
                  <c:v>79.59</c:v>
                </c:pt>
                <c:pt idx="10">
                  <c:v>80.099999999999994</c:v>
                </c:pt>
                <c:pt idx="11">
                  <c:v>80.61</c:v>
                </c:pt>
                <c:pt idx="12">
                  <c:v>81.12</c:v>
                </c:pt>
                <c:pt idx="13">
                  <c:v>81.63</c:v>
                </c:pt>
                <c:pt idx="14">
                  <c:v>82.14</c:v>
                </c:pt>
                <c:pt idx="15">
                  <c:v>82.65</c:v>
                </c:pt>
                <c:pt idx="16">
                  <c:v>83.16</c:v>
                </c:pt>
                <c:pt idx="17">
                  <c:v>83.67</c:v>
                </c:pt>
                <c:pt idx="18">
                  <c:v>84.18</c:v>
                </c:pt>
                <c:pt idx="19">
                  <c:v>84.69</c:v>
                </c:pt>
                <c:pt idx="20">
                  <c:v>85.2</c:v>
                </c:pt>
                <c:pt idx="21">
                  <c:v>85.71</c:v>
                </c:pt>
                <c:pt idx="22">
                  <c:v>86.22</c:v>
                </c:pt>
                <c:pt idx="23">
                  <c:v>86.73</c:v>
                </c:pt>
                <c:pt idx="24">
                  <c:v>87.24</c:v>
                </c:pt>
                <c:pt idx="25">
                  <c:v>87.76</c:v>
                </c:pt>
                <c:pt idx="26">
                  <c:v>88.27</c:v>
                </c:pt>
                <c:pt idx="27">
                  <c:v>88.78</c:v>
                </c:pt>
                <c:pt idx="28">
                  <c:v>89.29</c:v>
                </c:pt>
                <c:pt idx="29">
                  <c:v>89.8</c:v>
                </c:pt>
                <c:pt idx="30">
                  <c:v>90.31</c:v>
                </c:pt>
                <c:pt idx="31">
                  <c:v>90.82</c:v>
                </c:pt>
                <c:pt idx="32">
                  <c:v>91.33</c:v>
                </c:pt>
                <c:pt idx="33">
                  <c:v>91.84</c:v>
                </c:pt>
                <c:pt idx="34">
                  <c:v>92.35</c:v>
                </c:pt>
                <c:pt idx="35">
                  <c:v>92.86</c:v>
                </c:pt>
                <c:pt idx="36">
                  <c:v>93.37</c:v>
                </c:pt>
                <c:pt idx="37">
                  <c:v>93.88</c:v>
                </c:pt>
                <c:pt idx="38">
                  <c:v>94.39</c:v>
                </c:pt>
                <c:pt idx="39">
                  <c:v>94.9</c:v>
                </c:pt>
                <c:pt idx="40">
                  <c:v>95.41</c:v>
                </c:pt>
                <c:pt idx="41">
                  <c:v>95.92</c:v>
                </c:pt>
                <c:pt idx="42">
                  <c:v>96.43</c:v>
                </c:pt>
                <c:pt idx="43">
                  <c:v>96.94</c:v>
                </c:pt>
                <c:pt idx="44">
                  <c:v>97.45</c:v>
                </c:pt>
                <c:pt idx="45">
                  <c:v>97.96</c:v>
                </c:pt>
                <c:pt idx="46">
                  <c:v>98.47</c:v>
                </c:pt>
                <c:pt idx="47">
                  <c:v>98.98</c:v>
                </c:pt>
                <c:pt idx="48">
                  <c:v>99.49</c:v>
                </c:pt>
                <c:pt idx="49">
                  <c:v>100</c:v>
                </c:pt>
              </c:numCache>
            </c:numRef>
          </c:xVal>
          <c:yVal>
            <c:numRef>
              <c:f>'specific enthalpy of vap'!$C$2:$C$51</c:f>
              <c:numCache>
                <c:formatCode>General</c:formatCode>
                <c:ptCount val="50"/>
                <c:pt idx="0">
                  <c:v>2321</c:v>
                </c:pt>
                <c:pt idx="1">
                  <c:v>2319</c:v>
                </c:pt>
                <c:pt idx="2">
                  <c:v>2318</c:v>
                </c:pt>
                <c:pt idx="3">
                  <c:v>2317</c:v>
                </c:pt>
                <c:pt idx="4">
                  <c:v>2315</c:v>
                </c:pt>
                <c:pt idx="5">
                  <c:v>2314</c:v>
                </c:pt>
                <c:pt idx="6">
                  <c:v>2313</c:v>
                </c:pt>
                <c:pt idx="7">
                  <c:v>2312</c:v>
                </c:pt>
                <c:pt idx="8">
                  <c:v>2310</c:v>
                </c:pt>
                <c:pt idx="9">
                  <c:v>2309</c:v>
                </c:pt>
                <c:pt idx="10">
                  <c:v>2308</c:v>
                </c:pt>
                <c:pt idx="11">
                  <c:v>2306</c:v>
                </c:pt>
                <c:pt idx="12">
                  <c:v>2305</c:v>
                </c:pt>
                <c:pt idx="13">
                  <c:v>2304</c:v>
                </c:pt>
                <c:pt idx="14">
                  <c:v>2303</c:v>
                </c:pt>
                <c:pt idx="15">
                  <c:v>2301</c:v>
                </c:pt>
                <c:pt idx="16">
                  <c:v>2300</c:v>
                </c:pt>
                <c:pt idx="17">
                  <c:v>2299</c:v>
                </c:pt>
                <c:pt idx="18">
                  <c:v>2297</c:v>
                </c:pt>
                <c:pt idx="19">
                  <c:v>2296</c:v>
                </c:pt>
                <c:pt idx="20">
                  <c:v>2295</c:v>
                </c:pt>
                <c:pt idx="21">
                  <c:v>2294</c:v>
                </c:pt>
                <c:pt idx="22">
                  <c:v>2292</c:v>
                </c:pt>
                <c:pt idx="23">
                  <c:v>2291</c:v>
                </c:pt>
                <c:pt idx="24">
                  <c:v>2290</c:v>
                </c:pt>
                <c:pt idx="25">
                  <c:v>2288</c:v>
                </c:pt>
                <c:pt idx="26">
                  <c:v>2287</c:v>
                </c:pt>
                <c:pt idx="27">
                  <c:v>2286</c:v>
                </c:pt>
                <c:pt idx="28">
                  <c:v>2284</c:v>
                </c:pt>
                <c:pt idx="29">
                  <c:v>2283</c:v>
                </c:pt>
                <c:pt idx="30">
                  <c:v>2282</c:v>
                </c:pt>
                <c:pt idx="31">
                  <c:v>2280</c:v>
                </c:pt>
                <c:pt idx="32">
                  <c:v>2279</c:v>
                </c:pt>
                <c:pt idx="33">
                  <c:v>2278</c:v>
                </c:pt>
                <c:pt idx="34">
                  <c:v>2276</c:v>
                </c:pt>
                <c:pt idx="35">
                  <c:v>2275</c:v>
                </c:pt>
                <c:pt idx="36">
                  <c:v>2274</c:v>
                </c:pt>
                <c:pt idx="37">
                  <c:v>2272</c:v>
                </c:pt>
                <c:pt idx="38">
                  <c:v>2271</c:v>
                </c:pt>
                <c:pt idx="39">
                  <c:v>2270</c:v>
                </c:pt>
                <c:pt idx="40">
                  <c:v>2268</c:v>
                </c:pt>
                <c:pt idx="41">
                  <c:v>2267</c:v>
                </c:pt>
                <c:pt idx="42">
                  <c:v>2266</c:v>
                </c:pt>
                <c:pt idx="43">
                  <c:v>2264</c:v>
                </c:pt>
                <c:pt idx="44">
                  <c:v>2263</c:v>
                </c:pt>
                <c:pt idx="45">
                  <c:v>2262</c:v>
                </c:pt>
                <c:pt idx="46">
                  <c:v>2260</c:v>
                </c:pt>
                <c:pt idx="47">
                  <c:v>2259</c:v>
                </c:pt>
                <c:pt idx="48">
                  <c:v>2258</c:v>
                </c:pt>
                <c:pt idx="49">
                  <c:v>2256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00-4F23-B08B-5E4F9804A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755359"/>
        <c:axId val="471646031"/>
      </c:scatterChart>
      <c:valAx>
        <c:axId val="471646991"/>
        <c:scaling>
          <c:orientation val="minMax"/>
          <c:min val="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644111"/>
        <c:crosses val="autoZero"/>
        <c:crossBetween val="midCat"/>
      </c:valAx>
      <c:valAx>
        <c:axId val="47164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h_vap</a:t>
                </a:r>
                <a:r>
                  <a:rPr lang="fr-BE" baseline="0"/>
                  <a:t> (kJ/kg)</a:t>
                </a:r>
              </a:p>
              <a:p>
                <a:pPr>
                  <a:defRPr/>
                </a:pPr>
                <a:endParaRPr lang="fr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1646991"/>
        <c:crosses val="autoZero"/>
        <c:crossBetween val="midCat"/>
      </c:valAx>
      <c:valAx>
        <c:axId val="47164603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9755359"/>
        <c:crosses val="max"/>
        <c:crossBetween val="midCat"/>
      </c:valAx>
      <c:valAx>
        <c:axId val="709755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164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Cp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Water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Cp!$A$2:$A$50</c:f>
              <c:numCache>
                <c:formatCode>General</c:formatCode>
                <c:ptCount val="49"/>
                <c:pt idx="0">
                  <c:v>80</c:v>
                </c:pt>
                <c:pt idx="1">
                  <c:v>80.41</c:v>
                </c:pt>
                <c:pt idx="2">
                  <c:v>80.819999999999993</c:v>
                </c:pt>
                <c:pt idx="3">
                  <c:v>81.22</c:v>
                </c:pt>
                <c:pt idx="4">
                  <c:v>81.63</c:v>
                </c:pt>
                <c:pt idx="5">
                  <c:v>82.04</c:v>
                </c:pt>
                <c:pt idx="6">
                  <c:v>82.45</c:v>
                </c:pt>
                <c:pt idx="7">
                  <c:v>82.86</c:v>
                </c:pt>
                <c:pt idx="8">
                  <c:v>83.27</c:v>
                </c:pt>
                <c:pt idx="9">
                  <c:v>83.67</c:v>
                </c:pt>
                <c:pt idx="10">
                  <c:v>84.08</c:v>
                </c:pt>
                <c:pt idx="11">
                  <c:v>84.49</c:v>
                </c:pt>
                <c:pt idx="12">
                  <c:v>84.9</c:v>
                </c:pt>
                <c:pt idx="13">
                  <c:v>85.31</c:v>
                </c:pt>
                <c:pt idx="14">
                  <c:v>85.71</c:v>
                </c:pt>
                <c:pt idx="15">
                  <c:v>86.12</c:v>
                </c:pt>
                <c:pt idx="16">
                  <c:v>86.53</c:v>
                </c:pt>
                <c:pt idx="17">
                  <c:v>86.94</c:v>
                </c:pt>
                <c:pt idx="18">
                  <c:v>87.35</c:v>
                </c:pt>
                <c:pt idx="19">
                  <c:v>87.76</c:v>
                </c:pt>
                <c:pt idx="20">
                  <c:v>88.16</c:v>
                </c:pt>
                <c:pt idx="21">
                  <c:v>88.57</c:v>
                </c:pt>
                <c:pt idx="22">
                  <c:v>88.98</c:v>
                </c:pt>
                <c:pt idx="23">
                  <c:v>89.39</c:v>
                </c:pt>
                <c:pt idx="24">
                  <c:v>89.8</c:v>
                </c:pt>
                <c:pt idx="25">
                  <c:v>90.2</c:v>
                </c:pt>
                <c:pt idx="26">
                  <c:v>90.61</c:v>
                </c:pt>
                <c:pt idx="27">
                  <c:v>91.02</c:v>
                </c:pt>
                <c:pt idx="28">
                  <c:v>91.43</c:v>
                </c:pt>
                <c:pt idx="29">
                  <c:v>91.84</c:v>
                </c:pt>
                <c:pt idx="30">
                  <c:v>92.24</c:v>
                </c:pt>
                <c:pt idx="31">
                  <c:v>92.65</c:v>
                </c:pt>
                <c:pt idx="32">
                  <c:v>93.06</c:v>
                </c:pt>
                <c:pt idx="33">
                  <c:v>93.47</c:v>
                </c:pt>
                <c:pt idx="34">
                  <c:v>93.88</c:v>
                </c:pt>
                <c:pt idx="35">
                  <c:v>94.29</c:v>
                </c:pt>
                <c:pt idx="36">
                  <c:v>94.69</c:v>
                </c:pt>
                <c:pt idx="37">
                  <c:v>95.1</c:v>
                </c:pt>
                <c:pt idx="38">
                  <c:v>95.51</c:v>
                </c:pt>
                <c:pt idx="39">
                  <c:v>95.92</c:v>
                </c:pt>
                <c:pt idx="40">
                  <c:v>96.33</c:v>
                </c:pt>
                <c:pt idx="41">
                  <c:v>96.73</c:v>
                </c:pt>
                <c:pt idx="42">
                  <c:v>97.14</c:v>
                </c:pt>
                <c:pt idx="43">
                  <c:v>97.55</c:v>
                </c:pt>
                <c:pt idx="44">
                  <c:v>97.96</c:v>
                </c:pt>
                <c:pt idx="45">
                  <c:v>98.37</c:v>
                </c:pt>
                <c:pt idx="46">
                  <c:v>98.78</c:v>
                </c:pt>
                <c:pt idx="47">
                  <c:v>99.18</c:v>
                </c:pt>
                <c:pt idx="48">
                  <c:v>99.59</c:v>
                </c:pt>
              </c:numCache>
            </c:numRef>
          </c:xVal>
          <c:yVal>
            <c:numRef>
              <c:f>Cp!$B$2:$B$50</c:f>
              <c:numCache>
                <c:formatCode>General</c:formatCode>
                <c:ptCount val="49"/>
                <c:pt idx="0">
                  <c:v>4.1970000000000001</c:v>
                </c:pt>
                <c:pt idx="1">
                  <c:v>4.1970000000000001</c:v>
                </c:pt>
                <c:pt idx="2">
                  <c:v>4.1970000000000001</c:v>
                </c:pt>
                <c:pt idx="3">
                  <c:v>4.1980000000000004</c:v>
                </c:pt>
                <c:pt idx="4">
                  <c:v>4.1980000000000004</c:v>
                </c:pt>
                <c:pt idx="5">
                  <c:v>4.1980000000000004</c:v>
                </c:pt>
                <c:pt idx="6">
                  <c:v>4.1989999999999998</c:v>
                </c:pt>
                <c:pt idx="7">
                  <c:v>4.1989999999999998</c:v>
                </c:pt>
                <c:pt idx="8">
                  <c:v>4.1989999999999998</c:v>
                </c:pt>
                <c:pt idx="9">
                  <c:v>4.2</c:v>
                </c:pt>
                <c:pt idx="10">
                  <c:v>4.2</c:v>
                </c:pt>
                <c:pt idx="11">
                  <c:v>4.2</c:v>
                </c:pt>
                <c:pt idx="12">
                  <c:v>4.2009999999999996</c:v>
                </c:pt>
                <c:pt idx="13">
                  <c:v>4.2009999999999996</c:v>
                </c:pt>
                <c:pt idx="14">
                  <c:v>4.2009999999999996</c:v>
                </c:pt>
                <c:pt idx="15">
                  <c:v>4.202</c:v>
                </c:pt>
                <c:pt idx="16">
                  <c:v>4.202</c:v>
                </c:pt>
                <c:pt idx="17">
                  <c:v>4.202</c:v>
                </c:pt>
                <c:pt idx="18">
                  <c:v>4.2030000000000003</c:v>
                </c:pt>
                <c:pt idx="19">
                  <c:v>4.2030000000000003</c:v>
                </c:pt>
                <c:pt idx="20">
                  <c:v>4.2039999999999997</c:v>
                </c:pt>
                <c:pt idx="21">
                  <c:v>4.2039999999999997</c:v>
                </c:pt>
                <c:pt idx="22">
                  <c:v>4.2039999999999997</c:v>
                </c:pt>
                <c:pt idx="23">
                  <c:v>4.2050000000000001</c:v>
                </c:pt>
                <c:pt idx="24">
                  <c:v>4.2050000000000001</c:v>
                </c:pt>
                <c:pt idx="25">
                  <c:v>4.2050000000000001</c:v>
                </c:pt>
                <c:pt idx="26">
                  <c:v>4.2060000000000004</c:v>
                </c:pt>
                <c:pt idx="27">
                  <c:v>4.2060000000000004</c:v>
                </c:pt>
                <c:pt idx="28">
                  <c:v>4.2069999999999999</c:v>
                </c:pt>
                <c:pt idx="29">
                  <c:v>4.2069999999999999</c:v>
                </c:pt>
                <c:pt idx="30">
                  <c:v>4.2069999999999999</c:v>
                </c:pt>
                <c:pt idx="31">
                  <c:v>4.2080000000000002</c:v>
                </c:pt>
                <c:pt idx="32">
                  <c:v>4.2080000000000002</c:v>
                </c:pt>
                <c:pt idx="33">
                  <c:v>4.2089999999999996</c:v>
                </c:pt>
                <c:pt idx="34">
                  <c:v>4.2089999999999996</c:v>
                </c:pt>
                <c:pt idx="35">
                  <c:v>4.2089999999999996</c:v>
                </c:pt>
                <c:pt idx="36">
                  <c:v>4.21</c:v>
                </c:pt>
                <c:pt idx="37">
                  <c:v>4.21</c:v>
                </c:pt>
                <c:pt idx="38">
                  <c:v>4.2110000000000003</c:v>
                </c:pt>
                <c:pt idx="39">
                  <c:v>4.2110000000000003</c:v>
                </c:pt>
                <c:pt idx="40">
                  <c:v>4.2119999999999997</c:v>
                </c:pt>
                <c:pt idx="41">
                  <c:v>4.2119999999999997</c:v>
                </c:pt>
                <c:pt idx="42">
                  <c:v>4.2119999999999997</c:v>
                </c:pt>
                <c:pt idx="43">
                  <c:v>4.2130000000000001</c:v>
                </c:pt>
                <c:pt idx="44">
                  <c:v>4.2130000000000001</c:v>
                </c:pt>
                <c:pt idx="45">
                  <c:v>4.2140000000000004</c:v>
                </c:pt>
                <c:pt idx="46">
                  <c:v>4.2140000000000004</c:v>
                </c:pt>
                <c:pt idx="47">
                  <c:v>4.2149999999999999</c:v>
                </c:pt>
                <c:pt idx="48">
                  <c:v>4.2149999999999999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E5-4432-958C-5B701F54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37919"/>
        <c:axId val="649338399"/>
      </c:scatterChart>
      <c:scatterChart>
        <c:scatterStyle val="lineMarker"/>
        <c:varyColors val="0"/>
        <c:ser>
          <c:idx val="1"/>
          <c:order val="1"/>
          <c:tx>
            <c:v>ethanol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Cp!$E$2:$E$36</c:f>
              <c:numCache>
                <c:formatCode>General</c:formatCode>
                <c:ptCount val="35"/>
                <c:pt idx="0">
                  <c:v>25</c:v>
                </c:pt>
                <c:pt idx="1">
                  <c:v>26.53</c:v>
                </c:pt>
                <c:pt idx="2">
                  <c:v>28.06</c:v>
                </c:pt>
                <c:pt idx="3">
                  <c:v>29.59</c:v>
                </c:pt>
                <c:pt idx="4">
                  <c:v>31.12</c:v>
                </c:pt>
                <c:pt idx="5">
                  <c:v>32.65</c:v>
                </c:pt>
                <c:pt idx="6">
                  <c:v>34.18</c:v>
                </c:pt>
                <c:pt idx="7">
                  <c:v>35.71</c:v>
                </c:pt>
                <c:pt idx="8">
                  <c:v>37.24</c:v>
                </c:pt>
                <c:pt idx="9">
                  <c:v>38.78</c:v>
                </c:pt>
                <c:pt idx="10">
                  <c:v>40.31</c:v>
                </c:pt>
                <c:pt idx="11">
                  <c:v>41.84</c:v>
                </c:pt>
                <c:pt idx="12">
                  <c:v>43.37</c:v>
                </c:pt>
                <c:pt idx="13">
                  <c:v>44.9</c:v>
                </c:pt>
                <c:pt idx="14">
                  <c:v>46.43</c:v>
                </c:pt>
                <c:pt idx="15">
                  <c:v>47.96</c:v>
                </c:pt>
                <c:pt idx="16">
                  <c:v>49.49</c:v>
                </c:pt>
                <c:pt idx="17">
                  <c:v>51.02</c:v>
                </c:pt>
                <c:pt idx="18">
                  <c:v>52.55</c:v>
                </c:pt>
                <c:pt idx="19">
                  <c:v>54.08</c:v>
                </c:pt>
                <c:pt idx="20">
                  <c:v>55.61</c:v>
                </c:pt>
                <c:pt idx="21">
                  <c:v>57.14</c:v>
                </c:pt>
                <c:pt idx="22">
                  <c:v>58.67</c:v>
                </c:pt>
                <c:pt idx="23">
                  <c:v>60.2</c:v>
                </c:pt>
                <c:pt idx="24">
                  <c:v>61.73</c:v>
                </c:pt>
                <c:pt idx="25">
                  <c:v>63.27</c:v>
                </c:pt>
                <c:pt idx="26">
                  <c:v>64.8</c:v>
                </c:pt>
                <c:pt idx="27">
                  <c:v>66.33</c:v>
                </c:pt>
                <c:pt idx="28">
                  <c:v>67.86</c:v>
                </c:pt>
                <c:pt idx="29">
                  <c:v>69.39</c:v>
                </c:pt>
                <c:pt idx="30">
                  <c:v>70.92</c:v>
                </c:pt>
                <c:pt idx="31">
                  <c:v>72.45</c:v>
                </c:pt>
                <c:pt idx="32">
                  <c:v>73.98</c:v>
                </c:pt>
                <c:pt idx="33">
                  <c:v>75.510000000000005</c:v>
                </c:pt>
                <c:pt idx="34">
                  <c:v>77.040000000000006</c:v>
                </c:pt>
              </c:numCache>
            </c:numRef>
          </c:xVal>
          <c:yVal>
            <c:numRef>
              <c:f>Cp!$D$2:$D$36</c:f>
              <c:numCache>
                <c:formatCode>General</c:formatCode>
                <c:ptCount val="35"/>
                <c:pt idx="0">
                  <c:v>2.4340000000000002</c:v>
                </c:pt>
                <c:pt idx="1">
                  <c:v>2.4470000000000001</c:v>
                </c:pt>
                <c:pt idx="2">
                  <c:v>2.4590000000000001</c:v>
                </c:pt>
                <c:pt idx="3">
                  <c:v>2.4710000000000001</c:v>
                </c:pt>
                <c:pt idx="4">
                  <c:v>2.484</c:v>
                </c:pt>
                <c:pt idx="5">
                  <c:v>2.496</c:v>
                </c:pt>
                <c:pt idx="6">
                  <c:v>2.5089999999999999</c:v>
                </c:pt>
                <c:pt idx="7">
                  <c:v>2.5219999999999998</c:v>
                </c:pt>
                <c:pt idx="8">
                  <c:v>2.5350000000000001</c:v>
                </c:pt>
                <c:pt idx="9">
                  <c:v>2.548</c:v>
                </c:pt>
                <c:pt idx="10">
                  <c:v>2.5609999999999999</c:v>
                </c:pt>
                <c:pt idx="11">
                  <c:v>2.5750000000000002</c:v>
                </c:pt>
                <c:pt idx="12">
                  <c:v>2.5880000000000001</c:v>
                </c:pt>
                <c:pt idx="13">
                  <c:v>2.6019999999999999</c:v>
                </c:pt>
                <c:pt idx="14">
                  <c:v>2.6160000000000001</c:v>
                </c:pt>
                <c:pt idx="15">
                  <c:v>2.63</c:v>
                </c:pt>
                <c:pt idx="16">
                  <c:v>2.6440000000000001</c:v>
                </c:pt>
                <c:pt idx="17">
                  <c:v>2.6579999999999999</c:v>
                </c:pt>
                <c:pt idx="18">
                  <c:v>2.6720000000000002</c:v>
                </c:pt>
                <c:pt idx="19">
                  <c:v>2.6869999999999998</c:v>
                </c:pt>
                <c:pt idx="20">
                  <c:v>2.7010000000000001</c:v>
                </c:pt>
                <c:pt idx="21">
                  <c:v>2.7160000000000002</c:v>
                </c:pt>
                <c:pt idx="22">
                  <c:v>2.7309999999999999</c:v>
                </c:pt>
                <c:pt idx="23">
                  <c:v>2.746</c:v>
                </c:pt>
                <c:pt idx="24">
                  <c:v>2.7610000000000001</c:v>
                </c:pt>
                <c:pt idx="25">
                  <c:v>2.7759999999999998</c:v>
                </c:pt>
                <c:pt idx="26">
                  <c:v>2.7909999999999999</c:v>
                </c:pt>
                <c:pt idx="27">
                  <c:v>2.806</c:v>
                </c:pt>
                <c:pt idx="28">
                  <c:v>2.8220000000000001</c:v>
                </c:pt>
                <c:pt idx="29">
                  <c:v>2.8370000000000002</c:v>
                </c:pt>
                <c:pt idx="30">
                  <c:v>2.8530000000000002</c:v>
                </c:pt>
                <c:pt idx="31">
                  <c:v>2.8690000000000002</c:v>
                </c:pt>
                <c:pt idx="32">
                  <c:v>2.8839999999999999</c:v>
                </c:pt>
                <c:pt idx="33">
                  <c:v>2.9</c:v>
                </c:pt>
                <c:pt idx="34">
                  <c:v>2.9169999999999998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E5-4432-958C-5B701F54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6169535"/>
        <c:axId val="1848098223"/>
      </c:scatterChart>
      <c:valAx>
        <c:axId val="64933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338399"/>
        <c:crosses val="autoZero"/>
        <c:crossBetween val="midCat"/>
      </c:valAx>
      <c:valAx>
        <c:axId val="6493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Cp_w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9337919"/>
        <c:crosses val="autoZero"/>
        <c:crossBetween val="midCat"/>
      </c:valAx>
      <c:valAx>
        <c:axId val="1848098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6169535"/>
        <c:crosses val="max"/>
        <c:crossBetween val="midCat"/>
      </c:valAx>
      <c:valAx>
        <c:axId val="2086169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809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32</xdr:row>
      <xdr:rowOff>87630</xdr:rowOff>
    </xdr:from>
    <xdr:to>
      <xdr:col>11</xdr:col>
      <xdr:colOff>411480</xdr:colOff>
      <xdr:row>47</xdr:row>
      <xdr:rowOff>87630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BD7DAE-9273-4C7D-D8C6-52459516F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31</xdr:row>
      <xdr:rowOff>41910</xdr:rowOff>
    </xdr:from>
    <xdr:to>
      <xdr:col>12</xdr:col>
      <xdr:colOff>723900</xdr:colOff>
      <xdr:row>46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9C54D84-25E5-0D5F-60E9-DC1FDD207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4979-94F7-46D3-B5E9-1C1F43CF80B5}">
  <dimension ref="A1:C51"/>
  <sheetViews>
    <sheetView topLeftCell="A28" workbookViewId="0">
      <selection activeCell="H49" sqref="H49"/>
    </sheetView>
  </sheetViews>
  <sheetFormatPr baseColWidth="10" defaultRowHeight="14.4" x14ac:dyDescent="0.3"/>
  <cols>
    <col min="1" max="1" width="11.3320312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x14ac:dyDescent="0.3">
      <c r="A2">
        <v>75</v>
      </c>
      <c r="B2">
        <v>855.4</v>
      </c>
      <c r="C2">
        <v>2321</v>
      </c>
    </row>
    <row r="3" spans="1:3" x14ac:dyDescent="0.3">
      <c r="A3">
        <v>75.510000000000005</v>
      </c>
      <c r="B3">
        <v>854.6</v>
      </c>
      <c r="C3">
        <v>2319</v>
      </c>
    </row>
    <row r="4" spans="1:3" x14ac:dyDescent="0.3">
      <c r="A4">
        <v>76.02</v>
      </c>
      <c r="B4">
        <v>853.8</v>
      </c>
      <c r="C4">
        <v>2318</v>
      </c>
    </row>
    <row r="5" spans="1:3" x14ac:dyDescent="0.3">
      <c r="A5">
        <v>76.53</v>
      </c>
      <c r="B5">
        <v>852.9</v>
      </c>
      <c r="C5">
        <v>2317</v>
      </c>
    </row>
    <row r="6" spans="1:3" x14ac:dyDescent="0.3">
      <c r="A6">
        <v>77.040000000000006</v>
      </c>
      <c r="B6">
        <v>852.1</v>
      </c>
      <c r="C6">
        <v>2315</v>
      </c>
    </row>
    <row r="7" spans="1:3" x14ac:dyDescent="0.3">
      <c r="A7">
        <v>77.55</v>
      </c>
      <c r="B7">
        <v>851.3</v>
      </c>
      <c r="C7">
        <v>2314</v>
      </c>
    </row>
    <row r="8" spans="1:3" x14ac:dyDescent="0.3">
      <c r="A8">
        <v>78.06</v>
      </c>
      <c r="B8">
        <v>850.4</v>
      </c>
      <c r="C8">
        <v>2313</v>
      </c>
    </row>
    <row r="9" spans="1:3" x14ac:dyDescent="0.3">
      <c r="A9">
        <v>78.569999999999993</v>
      </c>
      <c r="B9">
        <v>849.6</v>
      </c>
      <c r="C9">
        <v>2312</v>
      </c>
    </row>
    <row r="10" spans="1:3" x14ac:dyDescent="0.3">
      <c r="A10">
        <v>79.08</v>
      </c>
      <c r="B10">
        <v>848.8</v>
      </c>
      <c r="C10">
        <v>2310</v>
      </c>
    </row>
    <row r="11" spans="1:3" x14ac:dyDescent="0.3">
      <c r="A11">
        <v>79.59</v>
      </c>
      <c r="B11">
        <v>847.9</v>
      </c>
      <c r="C11">
        <v>2309</v>
      </c>
    </row>
    <row r="12" spans="1:3" x14ac:dyDescent="0.3">
      <c r="A12">
        <v>80.099999999999994</v>
      </c>
      <c r="B12">
        <v>847.1</v>
      </c>
      <c r="C12">
        <v>2308</v>
      </c>
    </row>
    <row r="13" spans="1:3" x14ac:dyDescent="0.3">
      <c r="A13">
        <v>80.61</v>
      </c>
      <c r="B13">
        <v>846.2</v>
      </c>
      <c r="C13">
        <v>2306</v>
      </c>
    </row>
    <row r="14" spans="1:3" x14ac:dyDescent="0.3">
      <c r="A14">
        <v>81.12</v>
      </c>
      <c r="B14">
        <v>845.4</v>
      </c>
      <c r="C14">
        <v>2305</v>
      </c>
    </row>
    <row r="15" spans="1:3" x14ac:dyDescent="0.3">
      <c r="A15">
        <v>81.63</v>
      </c>
      <c r="B15">
        <v>844.5</v>
      </c>
      <c r="C15">
        <v>2304</v>
      </c>
    </row>
    <row r="16" spans="1:3" x14ac:dyDescent="0.3">
      <c r="A16">
        <v>82.14</v>
      </c>
      <c r="B16">
        <v>843.6</v>
      </c>
      <c r="C16">
        <v>2303</v>
      </c>
    </row>
    <row r="17" spans="1:3" x14ac:dyDescent="0.3">
      <c r="A17">
        <v>82.65</v>
      </c>
      <c r="B17">
        <v>842.8</v>
      </c>
      <c r="C17">
        <v>2301</v>
      </c>
    </row>
    <row r="18" spans="1:3" x14ac:dyDescent="0.3">
      <c r="A18">
        <v>83.16</v>
      </c>
      <c r="B18">
        <v>841.9</v>
      </c>
      <c r="C18">
        <v>2300</v>
      </c>
    </row>
    <row r="19" spans="1:3" x14ac:dyDescent="0.3">
      <c r="A19">
        <v>83.67</v>
      </c>
      <c r="B19">
        <v>841</v>
      </c>
      <c r="C19">
        <v>2299</v>
      </c>
    </row>
    <row r="20" spans="1:3" x14ac:dyDescent="0.3">
      <c r="A20">
        <v>84.18</v>
      </c>
      <c r="B20">
        <v>840.2</v>
      </c>
      <c r="C20">
        <v>2297</v>
      </c>
    </row>
    <row r="21" spans="1:3" x14ac:dyDescent="0.3">
      <c r="A21">
        <v>84.69</v>
      </c>
      <c r="B21">
        <v>839.3</v>
      </c>
      <c r="C21">
        <v>2296</v>
      </c>
    </row>
    <row r="22" spans="1:3" x14ac:dyDescent="0.3">
      <c r="A22">
        <v>85.2</v>
      </c>
      <c r="B22">
        <v>838.4</v>
      </c>
      <c r="C22">
        <v>2295</v>
      </c>
    </row>
    <row r="23" spans="1:3" x14ac:dyDescent="0.3">
      <c r="A23">
        <v>85.71</v>
      </c>
      <c r="B23">
        <v>837.5</v>
      </c>
      <c r="C23">
        <v>2294</v>
      </c>
    </row>
    <row r="24" spans="1:3" x14ac:dyDescent="0.3">
      <c r="A24">
        <v>86.22</v>
      </c>
      <c r="B24">
        <v>836.6</v>
      </c>
      <c r="C24">
        <v>2292</v>
      </c>
    </row>
    <row r="25" spans="1:3" x14ac:dyDescent="0.3">
      <c r="A25">
        <v>86.73</v>
      </c>
      <c r="B25">
        <v>835.7</v>
      </c>
      <c r="C25">
        <v>2291</v>
      </c>
    </row>
    <row r="26" spans="1:3" x14ac:dyDescent="0.3">
      <c r="A26">
        <v>87.24</v>
      </c>
      <c r="B26">
        <v>834.8</v>
      </c>
      <c r="C26">
        <v>2290</v>
      </c>
    </row>
    <row r="27" spans="1:3" x14ac:dyDescent="0.3">
      <c r="A27">
        <v>87.76</v>
      </c>
      <c r="B27">
        <v>833.9</v>
      </c>
      <c r="C27">
        <v>2288</v>
      </c>
    </row>
    <row r="28" spans="1:3" x14ac:dyDescent="0.3">
      <c r="A28">
        <v>88.27</v>
      </c>
      <c r="B28">
        <v>833</v>
      </c>
      <c r="C28">
        <v>2287</v>
      </c>
    </row>
    <row r="29" spans="1:3" x14ac:dyDescent="0.3">
      <c r="A29">
        <v>88.78</v>
      </c>
      <c r="B29">
        <v>832.1</v>
      </c>
      <c r="C29">
        <v>2286</v>
      </c>
    </row>
    <row r="30" spans="1:3" x14ac:dyDescent="0.3">
      <c r="A30">
        <v>89.29</v>
      </c>
      <c r="B30">
        <v>831.2</v>
      </c>
      <c r="C30">
        <v>2284</v>
      </c>
    </row>
    <row r="31" spans="1:3" x14ac:dyDescent="0.3">
      <c r="A31">
        <v>89.8</v>
      </c>
      <c r="B31">
        <v>830.3</v>
      </c>
      <c r="C31">
        <v>2283</v>
      </c>
    </row>
    <row r="32" spans="1:3" x14ac:dyDescent="0.3">
      <c r="A32">
        <v>90.31</v>
      </c>
      <c r="B32">
        <v>829.3</v>
      </c>
      <c r="C32">
        <v>2282</v>
      </c>
    </row>
    <row r="33" spans="1:3" x14ac:dyDescent="0.3">
      <c r="A33">
        <v>90.82</v>
      </c>
      <c r="B33">
        <v>828.4</v>
      </c>
      <c r="C33">
        <v>2280</v>
      </c>
    </row>
    <row r="34" spans="1:3" x14ac:dyDescent="0.3">
      <c r="A34">
        <v>91.33</v>
      </c>
      <c r="B34">
        <v>827.5</v>
      </c>
      <c r="C34">
        <v>2279</v>
      </c>
    </row>
    <row r="35" spans="1:3" x14ac:dyDescent="0.3">
      <c r="A35">
        <v>91.84</v>
      </c>
      <c r="B35">
        <v>826.5</v>
      </c>
      <c r="C35">
        <v>2278</v>
      </c>
    </row>
    <row r="36" spans="1:3" x14ac:dyDescent="0.3">
      <c r="A36">
        <v>92.35</v>
      </c>
      <c r="B36">
        <v>825.6</v>
      </c>
      <c r="C36">
        <v>2276</v>
      </c>
    </row>
    <row r="37" spans="1:3" x14ac:dyDescent="0.3">
      <c r="A37">
        <v>92.86</v>
      </c>
      <c r="B37">
        <v>824.7</v>
      </c>
      <c r="C37">
        <v>2275</v>
      </c>
    </row>
    <row r="38" spans="1:3" x14ac:dyDescent="0.3">
      <c r="A38">
        <v>93.37</v>
      </c>
      <c r="B38">
        <v>823.7</v>
      </c>
      <c r="C38">
        <v>2274</v>
      </c>
    </row>
    <row r="39" spans="1:3" x14ac:dyDescent="0.3">
      <c r="A39">
        <v>93.88</v>
      </c>
      <c r="B39">
        <v>822.8</v>
      </c>
      <c r="C39">
        <v>2272</v>
      </c>
    </row>
    <row r="40" spans="1:3" x14ac:dyDescent="0.3">
      <c r="A40">
        <v>94.39</v>
      </c>
      <c r="B40">
        <v>821.8</v>
      </c>
      <c r="C40">
        <v>2271</v>
      </c>
    </row>
    <row r="41" spans="1:3" x14ac:dyDescent="0.3">
      <c r="A41">
        <v>94.9</v>
      </c>
      <c r="B41">
        <v>820.8</v>
      </c>
      <c r="C41">
        <v>2270</v>
      </c>
    </row>
    <row r="42" spans="1:3" x14ac:dyDescent="0.3">
      <c r="A42">
        <v>95.41</v>
      </c>
      <c r="B42">
        <v>819.9</v>
      </c>
      <c r="C42">
        <v>2268</v>
      </c>
    </row>
    <row r="43" spans="1:3" x14ac:dyDescent="0.3">
      <c r="A43">
        <v>95.92</v>
      </c>
      <c r="B43">
        <v>818.9</v>
      </c>
      <c r="C43">
        <v>2267</v>
      </c>
    </row>
    <row r="44" spans="1:3" x14ac:dyDescent="0.3">
      <c r="A44">
        <v>96.43</v>
      </c>
      <c r="B44">
        <v>817.9</v>
      </c>
      <c r="C44">
        <v>2266</v>
      </c>
    </row>
    <row r="45" spans="1:3" x14ac:dyDescent="0.3">
      <c r="A45">
        <v>96.94</v>
      </c>
      <c r="B45">
        <v>817</v>
      </c>
      <c r="C45">
        <v>2264</v>
      </c>
    </row>
    <row r="46" spans="1:3" x14ac:dyDescent="0.3">
      <c r="A46">
        <v>97.45</v>
      </c>
      <c r="B46">
        <v>816</v>
      </c>
      <c r="C46">
        <v>2263</v>
      </c>
    </row>
    <row r="47" spans="1:3" x14ac:dyDescent="0.3">
      <c r="A47">
        <v>97.96</v>
      </c>
      <c r="B47">
        <v>815</v>
      </c>
      <c r="C47">
        <v>2262</v>
      </c>
    </row>
    <row r="48" spans="1:3" x14ac:dyDescent="0.3">
      <c r="A48">
        <v>98.47</v>
      </c>
      <c r="B48">
        <v>814</v>
      </c>
      <c r="C48">
        <v>2260</v>
      </c>
    </row>
    <row r="49" spans="1:3" x14ac:dyDescent="0.3">
      <c r="A49">
        <v>98.98</v>
      </c>
      <c r="B49">
        <v>813</v>
      </c>
      <c r="C49">
        <v>2259</v>
      </c>
    </row>
    <row r="50" spans="1:3" x14ac:dyDescent="0.3">
      <c r="A50">
        <v>99.49</v>
      </c>
      <c r="B50">
        <v>812</v>
      </c>
      <c r="C50">
        <v>2258</v>
      </c>
    </row>
    <row r="51" spans="1:3" x14ac:dyDescent="0.3">
      <c r="A51">
        <v>100</v>
      </c>
      <c r="B51">
        <v>811</v>
      </c>
      <c r="C51">
        <v>2256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C48C6-A781-406C-8D5C-8000AEC12ABB}">
  <dimension ref="A1:E51"/>
  <sheetViews>
    <sheetView workbookViewId="0">
      <selection activeCell="K30" sqref="K30"/>
    </sheetView>
  </sheetViews>
  <sheetFormatPr baseColWidth="10" defaultRowHeight="14.4" x14ac:dyDescent="0.3"/>
  <sheetData>
    <row r="1" spans="1:5" x14ac:dyDescent="0.3">
      <c r="A1" t="s">
        <v>3</v>
      </c>
      <c r="B1" t="s">
        <v>4</v>
      </c>
      <c r="D1" t="s">
        <v>5</v>
      </c>
      <c r="E1" t="s">
        <v>3</v>
      </c>
    </row>
    <row r="2" spans="1:5" x14ac:dyDescent="0.3">
      <c r="A2">
        <v>80</v>
      </c>
      <c r="B2">
        <v>4.1970000000000001</v>
      </c>
      <c r="D2">
        <v>2.4340000000000002</v>
      </c>
      <c r="E2">
        <v>25</v>
      </c>
    </row>
    <row r="3" spans="1:5" x14ac:dyDescent="0.3">
      <c r="A3">
        <v>80.41</v>
      </c>
      <c r="B3">
        <v>4.1970000000000001</v>
      </c>
      <c r="D3">
        <v>2.4470000000000001</v>
      </c>
      <c r="E3">
        <v>26.53</v>
      </c>
    </row>
    <row r="4" spans="1:5" x14ac:dyDescent="0.3">
      <c r="A4">
        <v>80.819999999999993</v>
      </c>
      <c r="B4">
        <v>4.1970000000000001</v>
      </c>
      <c r="D4">
        <v>2.4590000000000001</v>
      </c>
      <c r="E4">
        <v>28.06</v>
      </c>
    </row>
    <row r="5" spans="1:5" x14ac:dyDescent="0.3">
      <c r="A5">
        <v>81.22</v>
      </c>
      <c r="B5">
        <v>4.1980000000000004</v>
      </c>
      <c r="D5">
        <v>2.4710000000000001</v>
      </c>
      <c r="E5">
        <v>29.59</v>
      </c>
    </row>
    <row r="6" spans="1:5" x14ac:dyDescent="0.3">
      <c r="A6">
        <v>81.63</v>
      </c>
      <c r="B6">
        <v>4.1980000000000004</v>
      </c>
      <c r="D6">
        <v>2.484</v>
      </c>
      <c r="E6">
        <v>31.12</v>
      </c>
    </row>
    <row r="7" spans="1:5" x14ac:dyDescent="0.3">
      <c r="A7">
        <v>82.04</v>
      </c>
      <c r="B7">
        <v>4.1980000000000004</v>
      </c>
      <c r="D7">
        <v>2.496</v>
      </c>
      <c r="E7">
        <v>32.65</v>
      </c>
    </row>
    <row r="8" spans="1:5" x14ac:dyDescent="0.3">
      <c r="A8">
        <v>82.45</v>
      </c>
      <c r="B8">
        <v>4.1989999999999998</v>
      </c>
      <c r="D8">
        <v>2.5089999999999999</v>
      </c>
      <c r="E8">
        <v>34.18</v>
      </c>
    </row>
    <row r="9" spans="1:5" x14ac:dyDescent="0.3">
      <c r="A9">
        <v>82.86</v>
      </c>
      <c r="B9">
        <v>4.1989999999999998</v>
      </c>
      <c r="D9">
        <v>2.5219999999999998</v>
      </c>
      <c r="E9">
        <v>35.71</v>
      </c>
    </row>
    <row r="10" spans="1:5" x14ac:dyDescent="0.3">
      <c r="A10">
        <v>83.27</v>
      </c>
      <c r="B10">
        <v>4.1989999999999998</v>
      </c>
      <c r="D10">
        <v>2.5350000000000001</v>
      </c>
      <c r="E10">
        <v>37.24</v>
      </c>
    </row>
    <row r="11" spans="1:5" x14ac:dyDescent="0.3">
      <c r="A11">
        <v>83.67</v>
      </c>
      <c r="B11">
        <v>4.2</v>
      </c>
      <c r="D11">
        <v>2.548</v>
      </c>
      <c r="E11">
        <v>38.78</v>
      </c>
    </row>
    <row r="12" spans="1:5" x14ac:dyDescent="0.3">
      <c r="A12">
        <v>84.08</v>
      </c>
      <c r="B12">
        <v>4.2</v>
      </c>
      <c r="D12">
        <v>2.5609999999999999</v>
      </c>
      <c r="E12">
        <v>40.31</v>
      </c>
    </row>
    <row r="13" spans="1:5" x14ac:dyDescent="0.3">
      <c r="A13">
        <v>84.49</v>
      </c>
      <c r="B13">
        <v>4.2</v>
      </c>
      <c r="D13">
        <v>2.5750000000000002</v>
      </c>
      <c r="E13">
        <v>41.84</v>
      </c>
    </row>
    <row r="14" spans="1:5" x14ac:dyDescent="0.3">
      <c r="A14">
        <v>84.9</v>
      </c>
      <c r="B14">
        <v>4.2009999999999996</v>
      </c>
      <c r="D14">
        <v>2.5880000000000001</v>
      </c>
      <c r="E14">
        <v>43.37</v>
      </c>
    </row>
    <row r="15" spans="1:5" x14ac:dyDescent="0.3">
      <c r="A15">
        <v>85.31</v>
      </c>
      <c r="B15">
        <v>4.2009999999999996</v>
      </c>
      <c r="D15">
        <v>2.6019999999999999</v>
      </c>
      <c r="E15">
        <v>44.9</v>
      </c>
    </row>
    <row r="16" spans="1:5" x14ac:dyDescent="0.3">
      <c r="A16">
        <v>85.71</v>
      </c>
      <c r="B16">
        <v>4.2009999999999996</v>
      </c>
      <c r="D16">
        <v>2.6160000000000001</v>
      </c>
      <c r="E16">
        <v>46.43</v>
      </c>
    </row>
    <row r="17" spans="1:5" x14ac:dyDescent="0.3">
      <c r="A17">
        <v>86.12</v>
      </c>
      <c r="B17">
        <v>4.202</v>
      </c>
      <c r="D17">
        <v>2.63</v>
      </c>
      <c r="E17">
        <v>47.96</v>
      </c>
    </row>
    <row r="18" spans="1:5" x14ac:dyDescent="0.3">
      <c r="A18">
        <v>86.53</v>
      </c>
      <c r="B18">
        <v>4.202</v>
      </c>
      <c r="D18">
        <v>2.6440000000000001</v>
      </c>
      <c r="E18">
        <v>49.49</v>
      </c>
    </row>
    <row r="19" spans="1:5" x14ac:dyDescent="0.3">
      <c r="A19">
        <v>86.94</v>
      </c>
      <c r="B19">
        <v>4.202</v>
      </c>
      <c r="D19">
        <v>2.6579999999999999</v>
      </c>
      <c r="E19">
        <v>51.02</v>
      </c>
    </row>
    <row r="20" spans="1:5" x14ac:dyDescent="0.3">
      <c r="A20">
        <v>87.35</v>
      </c>
      <c r="B20">
        <v>4.2030000000000003</v>
      </c>
      <c r="D20">
        <v>2.6720000000000002</v>
      </c>
      <c r="E20">
        <v>52.55</v>
      </c>
    </row>
    <row r="21" spans="1:5" x14ac:dyDescent="0.3">
      <c r="A21">
        <v>87.76</v>
      </c>
      <c r="B21">
        <v>4.2030000000000003</v>
      </c>
      <c r="D21">
        <v>2.6869999999999998</v>
      </c>
      <c r="E21">
        <v>54.08</v>
      </c>
    </row>
    <row r="22" spans="1:5" x14ac:dyDescent="0.3">
      <c r="A22">
        <v>88.16</v>
      </c>
      <c r="B22">
        <v>4.2039999999999997</v>
      </c>
      <c r="D22">
        <v>2.7010000000000001</v>
      </c>
      <c r="E22">
        <v>55.61</v>
      </c>
    </row>
    <row r="23" spans="1:5" x14ac:dyDescent="0.3">
      <c r="A23">
        <v>88.57</v>
      </c>
      <c r="B23">
        <v>4.2039999999999997</v>
      </c>
      <c r="D23">
        <v>2.7160000000000002</v>
      </c>
      <c r="E23">
        <v>57.14</v>
      </c>
    </row>
    <row r="24" spans="1:5" x14ac:dyDescent="0.3">
      <c r="A24">
        <v>88.98</v>
      </c>
      <c r="B24">
        <v>4.2039999999999997</v>
      </c>
      <c r="D24">
        <v>2.7309999999999999</v>
      </c>
      <c r="E24">
        <v>58.67</v>
      </c>
    </row>
    <row r="25" spans="1:5" x14ac:dyDescent="0.3">
      <c r="A25">
        <v>89.39</v>
      </c>
      <c r="B25">
        <v>4.2050000000000001</v>
      </c>
      <c r="D25">
        <v>2.746</v>
      </c>
      <c r="E25">
        <v>60.2</v>
      </c>
    </row>
    <row r="26" spans="1:5" x14ac:dyDescent="0.3">
      <c r="A26">
        <v>89.8</v>
      </c>
      <c r="B26">
        <v>4.2050000000000001</v>
      </c>
      <c r="D26">
        <v>2.7610000000000001</v>
      </c>
      <c r="E26">
        <v>61.73</v>
      </c>
    </row>
    <row r="27" spans="1:5" x14ac:dyDescent="0.3">
      <c r="A27">
        <v>90.2</v>
      </c>
      <c r="B27">
        <v>4.2050000000000001</v>
      </c>
      <c r="D27">
        <v>2.7759999999999998</v>
      </c>
      <c r="E27">
        <v>63.27</v>
      </c>
    </row>
    <row r="28" spans="1:5" x14ac:dyDescent="0.3">
      <c r="A28">
        <v>90.61</v>
      </c>
      <c r="B28">
        <v>4.2060000000000004</v>
      </c>
      <c r="D28">
        <v>2.7909999999999999</v>
      </c>
      <c r="E28">
        <v>64.8</v>
      </c>
    </row>
    <row r="29" spans="1:5" x14ac:dyDescent="0.3">
      <c r="A29">
        <v>91.02</v>
      </c>
      <c r="B29">
        <v>4.2060000000000004</v>
      </c>
      <c r="D29">
        <v>2.806</v>
      </c>
      <c r="E29">
        <v>66.33</v>
      </c>
    </row>
    <row r="30" spans="1:5" x14ac:dyDescent="0.3">
      <c r="A30">
        <v>91.43</v>
      </c>
      <c r="B30">
        <v>4.2069999999999999</v>
      </c>
      <c r="D30">
        <v>2.8220000000000001</v>
      </c>
      <c r="E30">
        <v>67.86</v>
      </c>
    </row>
    <row r="31" spans="1:5" x14ac:dyDescent="0.3">
      <c r="A31">
        <v>91.84</v>
      </c>
      <c r="B31">
        <v>4.2069999999999999</v>
      </c>
      <c r="D31">
        <v>2.8370000000000002</v>
      </c>
      <c r="E31">
        <v>69.39</v>
      </c>
    </row>
    <row r="32" spans="1:5" x14ac:dyDescent="0.3">
      <c r="A32">
        <v>92.24</v>
      </c>
      <c r="B32">
        <v>4.2069999999999999</v>
      </c>
      <c r="D32">
        <v>2.8530000000000002</v>
      </c>
      <c r="E32">
        <v>70.92</v>
      </c>
    </row>
    <row r="33" spans="1:5" x14ac:dyDescent="0.3">
      <c r="A33">
        <v>92.65</v>
      </c>
      <c r="B33">
        <v>4.2080000000000002</v>
      </c>
      <c r="D33">
        <v>2.8690000000000002</v>
      </c>
      <c r="E33">
        <v>72.45</v>
      </c>
    </row>
    <row r="34" spans="1:5" x14ac:dyDescent="0.3">
      <c r="A34">
        <v>93.06</v>
      </c>
      <c r="B34">
        <v>4.2080000000000002</v>
      </c>
      <c r="D34">
        <v>2.8839999999999999</v>
      </c>
      <c r="E34">
        <v>73.98</v>
      </c>
    </row>
    <row r="35" spans="1:5" x14ac:dyDescent="0.3">
      <c r="A35">
        <v>93.47</v>
      </c>
      <c r="B35">
        <v>4.2089999999999996</v>
      </c>
      <c r="D35">
        <v>2.9</v>
      </c>
      <c r="E35">
        <v>75.510000000000005</v>
      </c>
    </row>
    <row r="36" spans="1:5" x14ac:dyDescent="0.3">
      <c r="A36">
        <v>93.88</v>
      </c>
      <c r="B36">
        <v>4.2089999999999996</v>
      </c>
      <c r="D36">
        <v>2.9169999999999998</v>
      </c>
      <c r="E36">
        <v>77.040000000000006</v>
      </c>
    </row>
    <row r="37" spans="1:5" x14ac:dyDescent="0.3">
      <c r="A37">
        <v>94.29</v>
      </c>
      <c r="B37">
        <v>4.2089999999999996</v>
      </c>
      <c r="D37">
        <v>1.7190000000000001</v>
      </c>
      <c r="E37">
        <v>78.569999999999993</v>
      </c>
    </row>
    <row r="38" spans="1:5" x14ac:dyDescent="0.3">
      <c r="A38">
        <v>94.69</v>
      </c>
      <c r="B38">
        <v>4.21</v>
      </c>
      <c r="D38">
        <v>1.7210000000000001</v>
      </c>
      <c r="E38">
        <v>80.099999999999994</v>
      </c>
    </row>
    <row r="39" spans="1:5" x14ac:dyDescent="0.3">
      <c r="A39">
        <v>95.1</v>
      </c>
      <c r="B39">
        <v>4.21</v>
      </c>
      <c r="D39">
        <v>1.724</v>
      </c>
      <c r="E39">
        <v>81.63</v>
      </c>
    </row>
    <row r="40" spans="1:5" x14ac:dyDescent="0.3">
      <c r="A40">
        <v>95.51</v>
      </c>
      <c r="B40">
        <v>4.2110000000000003</v>
      </c>
      <c r="D40">
        <v>1.7270000000000001</v>
      </c>
      <c r="E40">
        <v>83.16</v>
      </c>
    </row>
    <row r="41" spans="1:5" x14ac:dyDescent="0.3">
      <c r="A41">
        <v>95.92</v>
      </c>
      <c r="B41">
        <v>4.2110000000000003</v>
      </c>
      <c r="D41">
        <v>1.7290000000000001</v>
      </c>
      <c r="E41">
        <v>84.69</v>
      </c>
    </row>
    <row r="42" spans="1:5" x14ac:dyDescent="0.3">
      <c r="A42">
        <v>96.33</v>
      </c>
      <c r="B42">
        <v>4.2119999999999997</v>
      </c>
      <c r="D42">
        <v>1.732</v>
      </c>
      <c r="E42">
        <v>86.22</v>
      </c>
    </row>
    <row r="43" spans="1:5" x14ac:dyDescent="0.3">
      <c r="A43">
        <v>96.73</v>
      </c>
      <c r="B43">
        <v>4.2119999999999997</v>
      </c>
      <c r="D43">
        <v>1.7350000000000001</v>
      </c>
      <c r="E43">
        <v>87.76</v>
      </c>
    </row>
    <row r="44" spans="1:5" x14ac:dyDescent="0.3">
      <c r="A44">
        <v>97.14</v>
      </c>
      <c r="B44">
        <v>4.2119999999999997</v>
      </c>
      <c r="D44">
        <v>1.738</v>
      </c>
      <c r="E44">
        <v>89.29</v>
      </c>
    </row>
    <row r="45" spans="1:5" x14ac:dyDescent="0.3">
      <c r="A45">
        <v>97.55</v>
      </c>
      <c r="B45">
        <v>4.2130000000000001</v>
      </c>
      <c r="D45">
        <v>1.7410000000000001</v>
      </c>
      <c r="E45">
        <v>90.82</v>
      </c>
    </row>
    <row r="46" spans="1:5" x14ac:dyDescent="0.3">
      <c r="A46">
        <v>97.96</v>
      </c>
      <c r="B46">
        <v>4.2130000000000001</v>
      </c>
      <c r="D46">
        <v>1.744</v>
      </c>
      <c r="E46">
        <v>92.35</v>
      </c>
    </row>
    <row r="47" spans="1:5" x14ac:dyDescent="0.3">
      <c r="A47">
        <v>98.37</v>
      </c>
      <c r="B47">
        <v>4.2140000000000004</v>
      </c>
      <c r="D47">
        <v>1.7470000000000001</v>
      </c>
      <c r="E47">
        <v>93.88</v>
      </c>
    </row>
    <row r="48" spans="1:5" x14ac:dyDescent="0.3">
      <c r="A48">
        <v>98.78</v>
      </c>
      <c r="B48">
        <v>4.2140000000000004</v>
      </c>
      <c r="D48">
        <v>1.75</v>
      </c>
      <c r="E48">
        <v>95.41</v>
      </c>
    </row>
    <row r="49" spans="1:5" x14ac:dyDescent="0.3">
      <c r="A49">
        <v>99.18</v>
      </c>
      <c r="B49">
        <v>4.2149999999999999</v>
      </c>
      <c r="D49">
        <v>1.7529999999999999</v>
      </c>
      <c r="E49">
        <v>96.94</v>
      </c>
    </row>
    <row r="50" spans="1:5" x14ac:dyDescent="0.3">
      <c r="A50">
        <v>99.59</v>
      </c>
      <c r="B50">
        <v>4.2149999999999999</v>
      </c>
      <c r="D50">
        <v>1.7569999999999999</v>
      </c>
      <c r="E50">
        <v>98.47</v>
      </c>
    </row>
    <row r="51" spans="1:5" x14ac:dyDescent="0.3">
      <c r="A51">
        <v>100</v>
      </c>
      <c r="B51">
        <v>2.08</v>
      </c>
      <c r="D51">
        <v>1.76</v>
      </c>
      <c r="E51"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2024-A4AA-4428-9ACC-8FCE9C605296}">
  <dimension ref="A1:G101"/>
  <sheetViews>
    <sheetView tabSelected="1" workbookViewId="0">
      <selection activeCell="E14" sqref="E14"/>
    </sheetView>
  </sheetViews>
  <sheetFormatPr baseColWidth="10" defaultRowHeight="14.4" x14ac:dyDescent="0.3"/>
  <cols>
    <col min="1" max="1" width="22.88671875" bestFit="1" customWidth="1"/>
    <col min="5" max="5" width="17.77734375" bestFit="1" customWidth="1"/>
    <col min="6" max="6" width="14.88671875" bestFit="1" customWidth="1"/>
  </cols>
  <sheetData>
    <row r="1" spans="1:7" x14ac:dyDescent="0.3">
      <c r="A1" t="s">
        <v>6</v>
      </c>
      <c r="B1" t="s">
        <v>7</v>
      </c>
      <c r="C1" t="s">
        <v>8</v>
      </c>
    </row>
    <row r="2" spans="1:7" x14ac:dyDescent="0.3">
      <c r="A2">
        <v>48.6</v>
      </c>
      <c r="B2">
        <v>20</v>
      </c>
      <c r="C2">
        <f>B2+273.15</f>
        <v>293.14999999999998</v>
      </c>
    </row>
    <row r="3" spans="1:7" x14ac:dyDescent="0.3">
      <c r="A3">
        <v>51.66</v>
      </c>
      <c r="B3">
        <v>20.71</v>
      </c>
      <c r="C3">
        <f t="shared" ref="C3:C66" si="0">B3+273.15</f>
        <v>293.85999999999996</v>
      </c>
      <c r="E3" t="s">
        <v>9</v>
      </c>
    </row>
    <row r="4" spans="1:7" ht="43.2" x14ac:dyDescent="0.3">
      <c r="A4">
        <v>54.71</v>
      </c>
      <c r="B4">
        <v>21.41</v>
      </c>
      <c r="C4">
        <f t="shared" si="0"/>
        <v>294.56</v>
      </c>
      <c r="E4" s="2" t="s">
        <v>14</v>
      </c>
    </row>
    <row r="5" spans="1:7" x14ac:dyDescent="0.3">
      <c r="A5">
        <v>57.77</v>
      </c>
      <c r="B5">
        <v>22.12</v>
      </c>
      <c r="C5">
        <f t="shared" si="0"/>
        <v>295.27</v>
      </c>
    </row>
    <row r="6" spans="1:7" x14ac:dyDescent="0.3">
      <c r="A6">
        <v>60.82</v>
      </c>
      <c r="B6">
        <v>22.83</v>
      </c>
      <c r="C6">
        <f t="shared" si="0"/>
        <v>295.97999999999996</v>
      </c>
      <c r="E6" s="3" t="s">
        <v>10</v>
      </c>
      <c r="F6" s="3">
        <f>1.4</f>
        <v>1.4</v>
      </c>
      <c r="G6" s="3" t="s">
        <v>12</v>
      </c>
    </row>
    <row r="7" spans="1:7" x14ac:dyDescent="0.3">
      <c r="A7">
        <v>63.87</v>
      </c>
      <c r="B7">
        <v>23.54</v>
      </c>
      <c r="C7">
        <f t="shared" si="0"/>
        <v>296.69</v>
      </c>
      <c r="E7" s="4" t="s">
        <v>11</v>
      </c>
      <c r="F7" s="3">
        <v>7.8231999999999999</v>
      </c>
      <c r="G7" s="3" t="s">
        <v>13</v>
      </c>
    </row>
    <row r="8" spans="1:7" x14ac:dyDescent="0.3">
      <c r="A8">
        <v>66.92</v>
      </c>
      <c r="B8">
        <v>24.24</v>
      </c>
      <c r="C8">
        <f t="shared" si="0"/>
        <v>297.39</v>
      </c>
      <c r="E8" s="3" t="s">
        <v>15</v>
      </c>
      <c r="F8" s="3">
        <f>m_val/Q_dot*(A101-A2)</f>
        <v>1746.8087999999998</v>
      </c>
      <c r="G8" s="3" t="s">
        <v>16</v>
      </c>
    </row>
    <row r="9" spans="1:7" x14ac:dyDescent="0.3">
      <c r="A9">
        <v>69.97</v>
      </c>
      <c r="B9">
        <v>24.95</v>
      </c>
      <c r="C9">
        <f t="shared" si="0"/>
        <v>298.09999999999997</v>
      </c>
      <c r="E9" s="3" t="s">
        <v>17</v>
      </c>
      <c r="F9" s="3">
        <f>F8/60</f>
        <v>29.113479999999996</v>
      </c>
      <c r="G9" s="3" t="s">
        <v>18</v>
      </c>
    </row>
    <row r="10" spans="1:7" x14ac:dyDescent="0.3">
      <c r="A10">
        <v>73.010000000000005</v>
      </c>
      <c r="B10">
        <v>25.66</v>
      </c>
      <c r="C10">
        <f t="shared" si="0"/>
        <v>298.81</v>
      </c>
    </row>
    <row r="11" spans="1:7" x14ac:dyDescent="0.3">
      <c r="A11">
        <v>76.06</v>
      </c>
      <c r="B11">
        <v>26.36</v>
      </c>
      <c r="C11">
        <f t="shared" si="0"/>
        <v>299.51</v>
      </c>
    </row>
    <row r="12" spans="1:7" x14ac:dyDescent="0.3">
      <c r="A12">
        <v>79.099999999999994</v>
      </c>
      <c r="B12">
        <v>27.07</v>
      </c>
      <c r="C12">
        <f t="shared" si="0"/>
        <v>300.21999999999997</v>
      </c>
    </row>
    <row r="13" spans="1:7" x14ac:dyDescent="0.3">
      <c r="A13">
        <v>82.14</v>
      </c>
      <c r="B13">
        <v>27.78</v>
      </c>
      <c r="C13">
        <f t="shared" si="0"/>
        <v>300.92999999999995</v>
      </c>
    </row>
    <row r="14" spans="1:7" x14ac:dyDescent="0.3">
      <c r="A14">
        <v>85.18</v>
      </c>
      <c r="B14">
        <v>28.48</v>
      </c>
      <c r="C14">
        <f t="shared" si="0"/>
        <v>301.63</v>
      </c>
    </row>
    <row r="15" spans="1:7" x14ac:dyDescent="0.3">
      <c r="A15">
        <v>88.22</v>
      </c>
      <c r="B15">
        <v>29.19</v>
      </c>
      <c r="C15">
        <f t="shared" si="0"/>
        <v>302.33999999999997</v>
      </c>
    </row>
    <row r="16" spans="1:7" x14ac:dyDescent="0.3">
      <c r="A16">
        <v>91.26</v>
      </c>
      <c r="B16">
        <v>29.9</v>
      </c>
      <c r="C16">
        <f t="shared" si="0"/>
        <v>303.04999999999995</v>
      </c>
    </row>
    <row r="17" spans="1:3" x14ac:dyDescent="0.3">
      <c r="A17">
        <v>94.3</v>
      </c>
      <c r="B17">
        <v>30.61</v>
      </c>
      <c r="C17">
        <f t="shared" si="0"/>
        <v>303.76</v>
      </c>
    </row>
    <row r="18" spans="1:3" x14ac:dyDescent="0.3">
      <c r="A18">
        <v>97.34</v>
      </c>
      <c r="B18">
        <v>31.31</v>
      </c>
      <c r="C18">
        <f t="shared" si="0"/>
        <v>304.45999999999998</v>
      </c>
    </row>
    <row r="19" spans="1:3" x14ac:dyDescent="0.3">
      <c r="A19">
        <v>100.4</v>
      </c>
      <c r="B19">
        <v>32.020000000000003</v>
      </c>
      <c r="C19">
        <f t="shared" si="0"/>
        <v>305.16999999999996</v>
      </c>
    </row>
    <row r="20" spans="1:3" x14ac:dyDescent="0.3">
      <c r="A20">
        <v>103.4</v>
      </c>
      <c r="B20">
        <v>32.729999999999997</v>
      </c>
      <c r="C20">
        <f t="shared" si="0"/>
        <v>305.88</v>
      </c>
    </row>
    <row r="21" spans="1:3" x14ac:dyDescent="0.3">
      <c r="A21">
        <v>106.4</v>
      </c>
      <c r="B21">
        <v>33.43</v>
      </c>
      <c r="C21">
        <f t="shared" si="0"/>
        <v>306.58</v>
      </c>
    </row>
    <row r="22" spans="1:3" x14ac:dyDescent="0.3">
      <c r="A22">
        <v>109.5</v>
      </c>
      <c r="B22">
        <v>34.14</v>
      </c>
      <c r="C22">
        <f t="shared" si="0"/>
        <v>307.28999999999996</v>
      </c>
    </row>
    <row r="23" spans="1:3" x14ac:dyDescent="0.3">
      <c r="A23">
        <v>112.5</v>
      </c>
      <c r="B23">
        <v>34.85</v>
      </c>
      <c r="C23">
        <f t="shared" si="0"/>
        <v>308</v>
      </c>
    </row>
    <row r="24" spans="1:3" x14ac:dyDescent="0.3">
      <c r="A24">
        <v>115.6</v>
      </c>
      <c r="B24">
        <v>35.56</v>
      </c>
      <c r="C24">
        <f t="shared" si="0"/>
        <v>308.70999999999998</v>
      </c>
    </row>
    <row r="25" spans="1:3" x14ac:dyDescent="0.3">
      <c r="A25">
        <v>118.6</v>
      </c>
      <c r="B25">
        <v>36.26</v>
      </c>
      <c r="C25">
        <f t="shared" si="0"/>
        <v>309.40999999999997</v>
      </c>
    </row>
    <row r="26" spans="1:3" x14ac:dyDescent="0.3">
      <c r="A26">
        <v>121.6</v>
      </c>
      <c r="B26">
        <v>36.97</v>
      </c>
      <c r="C26">
        <f t="shared" si="0"/>
        <v>310.12</v>
      </c>
    </row>
    <row r="27" spans="1:3" x14ac:dyDescent="0.3">
      <c r="A27">
        <v>124.7</v>
      </c>
      <c r="B27">
        <v>37.68</v>
      </c>
      <c r="C27">
        <f t="shared" si="0"/>
        <v>310.83</v>
      </c>
    </row>
    <row r="28" spans="1:3" x14ac:dyDescent="0.3">
      <c r="A28">
        <v>127.7</v>
      </c>
      <c r="B28">
        <v>38.380000000000003</v>
      </c>
      <c r="C28">
        <f t="shared" si="0"/>
        <v>311.52999999999997</v>
      </c>
    </row>
    <row r="29" spans="1:3" x14ac:dyDescent="0.3">
      <c r="A29">
        <v>130.69999999999999</v>
      </c>
      <c r="B29">
        <v>39.090000000000003</v>
      </c>
      <c r="C29">
        <f t="shared" si="0"/>
        <v>312.24</v>
      </c>
    </row>
    <row r="30" spans="1:3" x14ac:dyDescent="0.3">
      <c r="A30">
        <v>133.80000000000001</v>
      </c>
      <c r="B30">
        <v>39.799999999999997</v>
      </c>
      <c r="C30">
        <f t="shared" si="0"/>
        <v>312.95</v>
      </c>
    </row>
    <row r="31" spans="1:3" x14ac:dyDescent="0.3">
      <c r="A31">
        <v>136.80000000000001</v>
      </c>
      <c r="B31">
        <v>40.51</v>
      </c>
      <c r="C31">
        <f t="shared" si="0"/>
        <v>313.65999999999997</v>
      </c>
    </row>
    <row r="32" spans="1:3" x14ac:dyDescent="0.3">
      <c r="A32">
        <v>139.80000000000001</v>
      </c>
      <c r="B32">
        <v>41.21</v>
      </c>
      <c r="C32">
        <f t="shared" si="0"/>
        <v>314.35999999999996</v>
      </c>
    </row>
    <row r="33" spans="1:3" x14ac:dyDescent="0.3">
      <c r="A33">
        <v>142.9</v>
      </c>
      <c r="B33">
        <v>41.92</v>
      </c>
      <c r="C33">
        <f t="shared" si="0"/>
        <v>315.07</v>
      </c>
    </row>
    <row r="34" spans="1:3" x14ac:dyDescent="0.3">
      <c r="A34">
        <v>145.9</v>
      </c>
      <c r="B34">
        <v>42.63</v>
      </c>
      <c r="C34">
        <f t="shared" si="0"/>
        <v>315.77999999999997</v>
      </c>
    </row>
    <row r="35" spans="1:3" x14ac:dyDescent="0.3">
      <c r="A35">
        <v>148.9</v>
      </c>
      <c r="B35">
        <v>43.33</v>
      </c>
      <c r="C35">
        <f t="shared" si="0"/>
        <v>316.47999999999996</v>
      </c>
    </row>
    <row r="36" spans="1:3" x14ac:dyDescent="0.3">
      <c r="A36">
        <v>152</v>
      </c>
      <c r="B36">
        <v>44.04</v>
      </c>
      <c r="C36">
        <f t="shared" si="0"/>
        <v>317.19</v>
      </c>
    </row>
    <row r="37" spans="1:3" x14ac:dyDescent="0.3">
      <c r="A37">
        <v>155</v>
      </c>
      <c r="B37">
        <v>44.75</v>
      </c>
      <c r="C37">
        <f t="shared" si="0"/>
        <v>317.89999999999998</v>
      </c>
    </row>
    <row r="38" spans="1:3" x14ac:dyDescent="0.3">
      <c r="A38">
        <v>158.1</v>
      </c>
      <c r="B38">
        <v>45.45</v>
      </c>
      <c r="C38">
        <f t="shared" si="0"/>
        <v>318.59999999999997</v>
      </c>
    </row>
    <row r="39" spans="1:3" x14ac:dyDescent="0.3">
      <c r="A39">
        <v>161.1</v>
      </c>
      <c r="B39">
        <v>46.16</v>
      </c>
      <c r="C39">
        <f t="shared" si="0"/>
        <v>319.30999999999995</v>
      </c>
    </row>
    <row r="40" spans="1:3" x14ac:dyDescent="0.3">
      <c r="A40">
        <v>164.2</v>
      </c>
      <c r="B40">
        <v>46.87</v>
      </c>
      <c r="C40">
        <f t="shared" si="0"/>
        <v>320.02</v>
      </c>
    </row>
    <row r="41" spans="1:3" x14ac:dyDescent="0.3">
      <c r="A41">
        <v>167.2</v>
      </c>
      <c r="B41">
        <v>47.58</v>
      </c>
      <c r="C41">
        <f t="shared" si="0"/>
        <v>320.72999999999996</v>
      </c>
    </row>
    <row r="42" spans="1:3" x14ac:dyDescent="0.3">
      <c r="A42">
        <v>170.3</v>
      </c>
      <c r="B42">
        <v>48.28</v>
      </c>
      <c r="C42">
        <f t="shared" si="0"/>
        <v>321.42999999999995</v>
      </c>
    </row>
    <row r="43" spans="1:3" x14ac:dyDescent="0.3">
      <c r="A43">
        <v>173.3</v>
      </c>
      <c r="B43">
        <v>48.99</v>
      </c>
      <c r="C43">
        <f t="shared" si="0"/>
        <v>322.14</v>
      </c>
    </row>
    <row r="44" spans="1:3" x14ac:dyDescent="0.3">
      <c r="A44">
        <v>176.4</v>
      </c>
      <c r="B44">
        <v>49.7</v>
      </c>
      <c r="C44">
        <f t="shared" si="0"/>
        <v>322.84999999999997</v>
      </c>
    </row>
    <row r="45" spans="1:3" x14ac:dyDescent="0.3">
      <c r="A45">
        <v>179.4</v>
      </c>
      <c r="B45">
        <v>50.4</v>
      </c>
      <c r="C45">
        <f t="shared" si="0"/>
        <v>323.54999999999995</v>
      </c>
    </row>
    <row r="46" spans="1:3" x14ac:dyDescent="0.3">
      <c r="A46">
        <v>182.5</v>
      </c>
      <c r="B46">
        <v>51.11</v>
      </c>
      <c r="C46">
        <f t="shared" si="0"/>
        <v>324.26</v>
      </c>
    </row>
    <row r="47" spans="1:3" x14ac:dyDescent="0.3">
      <c r="A47">
        <v>185.6</v>
      </c>
      <c r="B47">
        <v>51.82</v>
      </c>
      <c r="C47">
        <f t="shared" si="0"/>
        <v>324.96999999999997</v>
      </c>
    </row>
    <row r="48" spans="1:3" x14ac:dyDescent="0.3">
      <c r="A48">
        <v>188.6</v>
      </c>
      <c r="B48">
        <v>52.53</v>
      </c>
      <c r="C48">
        <f t="shared" si="0"/>
        <v>325.67999999999995</v>
      </c>
    </row>
    <row r="49" spans="1:3" x14ac:dyDescent="0.3">
      <c r="A49">
        <v>191.7</v>
      </c>
      <c r="B49">
        <v>53.23</v>
      </c>
      <c r="C49">
        <f t="shared" si="0"/>
        <v>326.38</v>
      </c>
    </row>
    <row r="50" spans="1:3" x14ac:dyDescent="0.3">
      <c r="A50">
        <v>194.8</v>
      </c>
      <c r="B50">
        <v>53.94</v>
      </c>
      <c r="C50">
        <f t="shared" si="0"/>
        <v>327.08999999999997</v>
      </c>
    </row>
    <row r="51" spans="1:3" x14ac:dyDescent="0.3">
      <c r="A51">
        <v>197.9</v>
      </c>
      <c r="B51">
        <v>54.65</v>
      </c>
      <c r="C51">
        <f t="shared" si="0"/>
        <v>327.79999999999995</v>
      </c>
    </row>
    <row r="52" spans="1:3" x14ac:dyDescent="0.3">
      <c r="A52">
        <v>200.9</v>
      </c>
      <c r="B52">
        <v>55.35</v>
      </c>
      <c r="C52">
        <f t="shared" si="0"/>
        <v>328.5</v>
      </c>
    </row>
    <row r="53" spans="1:3" x14ac:dyDescent="0.3">
      <c r="A53">
        <v>204</v>
      </c>
      <c r="B53">
        <v>56.06</v>
      </c>
      <c r="C53">
        <f t="shared" si="0"/>
        <v>329.21</v>
      </c>
    </row>
    <row r="54" spans="1:3" x14ac:dyDescent="0.3">
      <c r="A54">
        <v>207.1</v>
      </c>
      <c r="B54">
        <v>56.77</v>
      </c>
      <c r="C54">
        <f t="shared" si="0"/>
        <v>329.91999999999996</v>
      </c>
    </row>
    <row r="55" spans="1:3" x14ac:dyDescent="0.3">
      <c r="A55">
        <v>210.2</v>
      </c>
      <c r="B55">
        <v>57.47</v>
      </c>
      <c r="C55">
        <f t="shared" si="0"/>
        <v>330.62</v>
      </c>
    </row>
    <row r="56" spans="1:3" x14ac:dyDescent="0.3">
      <c r="A56">
        <v>213.3</v>
      </c>
      <c r="B56">
        <v>58.18</v>
      </c>
      <c r="C56">
        <f t="shared" si="0"/>
        <v>331.33</v>
      </c>
    </row>
    <row r="57" spans="1:3" x14ac:dyDescent="0.3">
      <c r="A57">
        <v>216.4</v>
      </c>
      <c r="B57">
        <v>58.89</v>
      </c>
      <c r="C57">
        <f t="shared" si="0"/>
        <v>332.03999999999996</v>
      </c>
    </row>
    <row r="58" spans="1:3" x14ac:dyDescent="0.3">
      <c r="A58">
        <v>219.5</v>
      </c>
      <c r="B58">
        <v>59.6</v>
      </c>
      <c r="C58">
        <f t="shared" si="0"/>
        <v>332.75</v>
      </c>
    </row>
    <row r="59" spans="1:3" x14ac:dyDescent="0.3">
      <c r="A59">
        <v>222.6</v>
      </c>
      <c r="B59">
        <v>60.3</v>
      </c>
      <c r="C59">
        <f t="shared" si="0"/>
        <v>333.45</v>
      </c>
    </row>
    <row r="60" spans="1:3" x14ac:dyDescent="0.3">
      <c r="A60">
        <v>225.7</v>
      </c>
      <c r="B60">
        <v>61.01</v>
      </c>
      <c r="C60">
        <f t="shared" si="0"/>
        <v>334.15999999999997</v>
      </c>
    </row>
    <row r="61" spans="1:3" x14ac:dyDescent="0.3">
      <c r="A61">
        <v>228.9</v>
      </c>
      <c r="B61">
        <v>61.72</v>
      </c>
      <c r="C61">
        <f t="shared" si="0"/>
        <v>334.87</v>
      </c>
    </row>
    <row r="62" spans="1:3" x14ac:dyDescent="0.3">
      <c r="A62">
        <v>232</v>
      </c>
      <c r="B62">
        <v>62.42</v>
      </c>
      <c r="C62">
        <f t="shared" si="0"/>
        <v>335.57</v>
      </c>
    </row>
    <row r="63" spans="1:3" x14ac:dyDescent="0.3">
      <c r="A63">
        <v>235.1</v>
      </c>
      <c r="B63">
        <v>63.13</v>
      </c>
      <c r="C63">
        <f t="shared" si="0"/>
        <v>336.28</v>
      </c>
    </row>
    <row r="64" spans="1:3" x14ac:dyDescent="0.3">
      <c r="A64">
        <v>238.3</v>
      </c>
      <c r="B64">
        <v>63.84</v>
      </c>
      <c r="C64">
        <f t="shared" si="0"/>
        <v>336.99</v>
      </c>
    </row>
    <row r="65" spans="1:3" x14ac:dyDescent="0.3">
      <c r="A65">
        <v>241.4</v>
      </c>
      <c r="B65">
        <v>64.55</v>
      </c>
      <c r="C65">
        <f t="shared" si="0"/>
        <v>337.7</v>
      </c>
    </row>
    <row r="66" spans="1:3" x14ac:dyDescent="0.3">
      <c r="A66">
        <v>244.6</v>
      </c>
      <c r="B66">
        <v>65.25</v>
      </c>
      <c r="C66">
        <f t="shared" si="0"/>
        <v>338.4</v>
      </c>
    </row>
    <row r="67" spans="1:3" x14ac:dyDescent="0.3">
      <c r="A67">
        <v>247.8</v>
      </c>
      <c r="B67">
        <v>65.959999999999994</v>
      </c>
      <c r="C67">
        <f t="shared" ref="C67:C101" si="1">B67+273.15</f>
        <v>339.10999999999996</v>
      </c>
    </row>
    <row r="68" spans="1:3" x14ac:dyDescent="0.3">
      <c r="A68">
        <v>250.9</v>
      </c>
      <c r="B68">
        <v>66.67</v>
      </c>
      <c r="C68">
        <f t="shared" si="1"/>
        <v>339.82</v>
      </c>
    </row>
    <row r="69" spans="1:3" x14ac:dyDescent="0.3">
      <c r="A69">
        <v>254.1</v>
      </c>
      <c r="B69">
        <v>67.37</v>
      </c>
      <c r="C69">
        <f t="shared" si="1"/>
        <v>340.52</v>
      </c>
    </row>
    <row r="70" spans="1:3" x14ac:dyDescent="0.3">
      <c r="A70">
        <v>257.3</v>
      </c>
      <c r="B70">
        <v>68.08</v>
      </c>
      <c r="C70">
        <f t="shared" si="1"/>
        <v>341.22999999999996</v>
      </c>
    </row>
    <row r="71" spans="1:3" x14ac:dyDescent="0.3">
      <c r="A71">
        <v>260.5</v>
      </c>
      <c r="B71">
        <v>68.790000000000006</v>
      </c>
      <c r="C71">
        <f t="shared" si="1"/>
        <v>341.94</v>
      </c>
    </row>
    <row r="72" spans="1:3" x14ac:dyDescent="0.3">
      <c r="A72">
        <v>263.7</v>
      </c>
      <c r="B72">
        <v>69.489999999999995</v>
      </c>
      <c r="C72">
        <f t="shared" si="1"/>
        <v>342.64</v>
      </c>
    </row>
    <row r="73" spans="1:3" x14ac:dyDescent="0.3">
      <c r="A73">
        <v>266.89999999999998</v>
      </c>
      <c r="B73">
        <v>70.2</v>
      </c>
      <c r="C73">
        <f t="shared" si="1"/>
        <v>343.34999999999997</v>
      </c>
    </row>
    <row r="74" spans="1:3" x14ac:dyDescent="0.3">
      <c r="A74">
        <v>270.10000000000002</v>
      </c>
      <c r="B74">
        <v>70.91</v>
      </c>
      <c r="C74">
        <f t="shared" si="1"/>
        <v>344.05999999999995</v>
      </c>
    </row>
    <row r="75" spans="1:3" x14ac:dyDescent="0.3">
      <c r="A75">
        <v>273.3</v>
      </c>
      <c r="B75">
        <v>71.62</v>
      </c>
      <c r="C75">
        <f t="shared" si="1"/>
        <v>344.77</v>
      </c>
    </row>
    <row r="76" spans="1:3" x14ac:dyDescent="0.3">
      <c r="A76">
        <v>276.60000000000002</v>
      </c>
      <c r="B76">
        <v>72.319999999999993</v>
      </c>
      <c r="C76">
        <f t="shared" si="1"/>
        <v>345.46999999999997</v>
      </c>
    </row>
    <row r="77" spans="1:3" x14ac:dyDescent="0.3">
      <c r="A77">
        <v>279.8</v>
      </c>
      <c r="B77">
        <v>73.03</v>
      </c>
      <c r="C77">
        <f t="shared" si="1"/>
        <v>346.17999999999995</v>
      </c>
    </row>
    <row r="78" spans="1:3" x14ac:dyDescent="0.3">
      <c r="A78">
        <v>283.10000000000002</v>
      </c>
      <c r="B78">
        <v>73.739999999999995</v>
      </c>
      <c r="C78">
        <f t="shared" si="1"/>
        <v>346.89</v>
      </c>
    </row>
    <row r="79" spans="1:3" x14ac:dyDescent="0.3">
      <c r="A79">
        <v>286.3</v>
      </c>
      <c r="B79">
        <v>74.44</v>
      </c>
      <c r="C79">
        <f t="shared" si="1"/>
        <v>347.59</v>
      </c>
    </row>
    <row r="80" spans="1:3" x14ac:dyDescent="0.3">
      <c r="A80">
        <v>289.60000000000002</v>
      </c>
      <c r="B80">
        <v>75.150000000000006</v>
      </c>
      <c r="C80">
        <f t="shared" si="1"/>
        <v>348.29999999999995</v>
      </c>
    </row>
    <row r="81" spans="1:3" x14ac:dyDescent="0.3">
      <c r="A81">
        <v>292.89999999999998</v>
      </c>
      <c r="B81">
        <v>75.86</v>
      </c>
      <c r="C81">
        <f t="shared" si="1"/>
        <v>349.01</v>
      </c>
    </row>
    <row r="82" spans="1:3" x14ac:dyDescent="0.3">
      <c r="A82">
        <v>296.2</v>
      </c>
      <c r="B82">
        <v>76.569999999999993</v>
      </c>
      <c r="C82">
        <f t="shared" si="1"/>
        <v>349.71999999999997</v>
      </c>
    </row>
    <row r="83" spans="1:3" x14ac:dyDescent="0.3">
      <c r="A83">
        <v>299.5</v>
      </c>
      <c r="B83">
        <v>77.27</v>
      </c>
      <c r="C83">
        <f t="shared" si="1"/>
        <v>350.41999999999996</v>
      </c>
    </row>
    <row r="84" spans="1:3" x14ac:dyDescent="0.3">
      <c r="A84">
        <v>302.8</v>
      </c>
      <c r="B84">
        <v>77.98</v>
      </c>
      <c r="C84">
        <f t="shared" si="1"/>
        <v>351.13</v>
      </c>
    </row>
    <row r="85" spans="1:3" x14ac:dyDescent="0.3">
      <c r="A85">
        <v>306.10000000000002</v>
      </c>
      <c r="B85">
        <v>78.69</v>
      </c>
      <c r="C85">
        <f t="shared" si="1"/>
        <v>351.84</v>
      </c>
    </row>
    <row r="86" spans="1:3" x14ac:dyDescent="0.3">
      <c r="A86">
        <v>309.5</v>
      </c>
      <c r="B86">
        <v>79.39</v>
      </c>
      <c r="C86">
        <f t="shared" si="1"/>
        <v>352.53999999999996</v>
      </c>
    </row>
    <row r="87" spans="1:3" x14ac:dyDescent="0.3">
      <c r="A87">
        <v>312.8</v>
      </c>
      <c r="B87">
        <v>80.099999999999994</v>
      </c>
      <c r="C87">
        <f t="shared" si="1"/>
        <v>353.25</v>
      </c>
    </row>
    <row r="88" spans="1:3" x14ac:dyDescent="0.3">
      <c r="A88">
        <v>316.2</v>
      </c>
      <c r="B88">
        <v>80.81</v>
      </c>
      <c r="C88">
        <f t="shared" si="1"/>
        <v>353.96</v>
      </c>
    </row>
    <row r="89" spans="1:3" x14ac:dyDescent="0.3">
      <c r="A89">
        <v>319.60000000000002</v>
      </c>
      <c r="B89">
        <v>81.52</v>
      </c>
      <c r="C89">
        <f t="shared" si="1"/>
        <v>354.66999999999996</v>
      </c>
    </row>
    <row r="90" spans="1:3" x14ac:dyDescent="0.3">
      <c r="A90">
        <v>323</v>
      </c>
      <c r="B90">
        <v>82.22</v>
      </c>
      <c r="C90">
        <f t="shared" si="1"/>
        <v>355.37</v>
      </c>
    </row>
    <row r="91" spans="1:3" x14ac:dyDescent="0.3">
      <c r="A91">
        <v>326.39999999999998</v>
      </c>
      <c r="B91">
        <v>82.93</v>
      </c>
      <c r="C91">
        <f t="shared" si="1"/>
        <v>356.08</v>
      </c>
    </row>
    <row r="92" spans="1:3" x14ac:dyDescent="0.3">
      <c r="A92">
        <v>329.8</v>
      </c>
      <c r="B92">
        <v>83.64</v>
      </c>
      <c r="C92">
        <f t="shared" si="1"/>
        <v>356.78999999999996</v>
      </c>
    </row>
    <row r="93" spans="1:3" x14ac:dyDescent="0.3">
      <c r="A93">
        <v>333.2</v>
      </c>
      <c r="B93">
        <v>84.34</v>
      </c>
      <c r="C93">
        <f t="shared" si="1"/>
        <v>357.49</v>
      </c>
    </row>
    <row r="94" spans="1:3" x14ac:dyDescent="0.3">
      <c r="A94">
        <v>336.7</v>
      </c>
      <c r="B94">
        <v>85.05</v>
      </c>
      <c r="C94">
        <f t="shared" si="1"/>
        <v>358.2</v>
      </c>
    </row>
    <row r="95" spans="1:3" x14ac:dyDescent="0.3">
      <c r="A95">
        <v>340.1</v>
      </c>
      <c r="B95">
        <v>85.76</v>
      </c>
      <c r="C95">
        <f t="shared" si="1"/>
        <v>358.90999999999997</v>
      </c>
    </row>
    <row r="96" spans="1:3" x14ac:dyDescent="0.3">
      <c r="A96">
        <v>343.6</v>
      </c>
      <c r="B96">
        <v>86.46</v>
      </c>
      <c r="C96">
        <f t="shared" si="1"/>
        <v>359.60999999999996</v>
      </c>
    </row>
    <row r="97" spans="1:3" x14ac:dyDescent="0.3">
      <c r="A97">
        <v>347.1</v>
      </c>
      <c r="B97">
        <v>87.17</v>
      </c>
      <c r="C97">
        <f t="shared" si="1"/>
        <v>360.32</v>
      </c>
    </row>
    <row r="98" spans="1:3" x14ac:dyDescent="0.3">
      <c r="A98">
        <v>350.6</v>
      </c>
      <c r="B98">
        <v>87.88</v>
      </c>
      <c r="C98">
        <f t="shared" si="1"/>
        <v>361.03</v>
      </c>
    </row>
    <row r="99" spans="1:3" x14ac:dyDescent="0.3">
      <c r="A99">
        <v>354.1</v>
      </c>
      <c r="B99">
        <v>88.59</v>
      </c>
      <c r="C99">
        <f t="shared" si="1"/>
        <v>361.74</v>
      </c>
    </row>
    <row r="100" spans="1:3" x14ac:dyDescent="0.3">
      <c r="A100">
        <v>357.6</v>
      </c>
      <c r="B100">
        <v>89.29</v>
      </c>
      <c r="C100">
        <f t="shared" si="1"/>
        <v>362.44</v>
      </c>
    </row>
    <row r="101" spans="1:3" x14ac:dyDescent="0.3">
      <c r="A101">
        <v>361.2</v>
      </c>
      <c r="B101">
        <v>90</v>
      </c>
      <c r="C101">
        <f t="shared" si="1"/>
        <v>363.15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5</vt:i4>
      </vt:variant>
    </vt:vector>
  </HeadingPairs>
  <TitlesOfParts>
    <vt:vector size="8" baseType="lpstr">
      <vt:lpstr>specific enthalpy of vap</vt:lpstr>
      <vt:lpstr>Cp</vt:lpstr>
      <vt:lpstr>specific enthalpy</vt:lpstr>
      <vt:lpstr>enthalpy</vt:lpstr>
      <vt:lpstr>m</vt:lpstr>
      <vt:lpstr>m_val</vt:lpstr>
      <vt:lpstr>Q_dot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Lhoest Guy-Louis</dc:creator>
  <cp:lastModifiedBy>Lhoest Guy-Louis</cp:lastModifiedBy>
  <dcterms:created xsi:type="dcterms:W3CDTF">2025-10-14T17:03:50Z</dcterms:created>
  <dcterms:modified xsi:type="dcterms:W3CDTF">2025-11-04T12:47:47Z</dcterms:modified>
</cp:coreProperties>
</file>